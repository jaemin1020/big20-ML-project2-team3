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ig20\git\big20-ML-project2-team3\SantanderCS\doc\"/>
    </mc:Choice>
  </mc:AlternateContent>
  <xr:revisionPtr revIDLastSave="0" documentId="13_ncr:1_{822A671E-3F31-44D6-A8A8-59B25E4E4C7D}" xr6:coauthVersionLast="47" xr6:coauthVersionMax="47" xr10:uidLastSave="{00000000-0000-0000-0000-000000000000}"/>
  <bookViews>
    <workbookView xWindow="1860" yWindow="960" windowWidth="24930" windowHeight="13695" xr2:uid="{AD4817E5-F76A-4F89-867E-BD8F107C32DF}"/>
  </bookViews>
  <sheets>
    <sheet name="통합 데이터 분석" sheetId="7" r:id="rId1"/>
    <sheet name="EJM" sheetId="1" r:id="rId2"/>
    <sheet name="KJH" sheetId="2" r:id="rId3"/>
    <sheet name="LKJ" sheetId="4" r:id="rId4"/>
    <sheet name="LSJ" sheetId="5" r:id="rId5"/>
    <sheet name="YJH" sheetId="6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6" i="1" l="1"/>
  <c r="F3" i="7"/>
  <c r="D76" i="6" l="1"/>
  <c r="G4" i="1" l="1"/>
  <c r="D76" i="2"/>
  <c r="D76" i="5"/>
  <c r="D76" i="4"/>
  <c r="G2" i="1"/>
</calcChain>
</file>

<file path=xl/sharedStrings.xml><?xml version="1.0" encoding="utf-8"?>
<sst xmlns="http://schemas.openxmlformats.org/spreadsheetml/2006/main" count="1727" uniqueCount="567">
  <si>
    <t>ID</t>
  </si>
  <si>
    <t>var3</t>
  </si>
  <si>
    <t>var15</t>
  </si>
  <si>
    <t>imp_ent_var16_ult1</t>
  </si>
  <si>
    <t>imp_op_var39_comer_ult1</t>
  </si>
  <si>
    <t>imp_op_var39_comer_ult3</t>
  </si>
  <si>
    <t>imp_op_var40_comer_ult1</t>
  </si>
  <si>
    <t>imp_op_var40_comer_ult3</t>
  </si>
  <si>
    <t>imp_op_var40_efect_ult1</t>
  </si>
  <si>
    <t>imp_op_var40_efect_ult3</t>
  </si>
  <si>
    <t>imp_op_var40_ult1</t>
  </si>
  <si>
    <t>imp_op_var41_comer_ult1</t>
  </si>
  <si>
    <t>imp_op_var41_comer_ult3</t>
  </si>
  <si>
    <t>imp_op_var41_efect_ult1</t>
  </si>
  <si>
    <t>imp_op_var41_efect_ult3</t>
  </si>
  <si>
    <t>imp_op_var41_ult1</t>
  </si>
  <si>
    <t>imp_op_var39_efect_ult1</t>
  </si>
  <si>
    <t>imp_op_var39_efect_ult3</t>
  </si>
  <si>
    <t>imp_op_var39_ult1</t>
  </si>
  <si>
    <t>imp_sal_var16_ult1</t>
  </si>
  <si>
    <t>ind_var1_0</t>
  </si>
  <si>
    <t>ind_var1</t>
  </si>
  <si>
    <t>ind_var2_0</t>
  </si>
  <si>
    <t>ind_var2</t>
  </si>
  <si>
    <t>ind_var5_0</t>
  </si>
  <si>
    <t>ind_var5</t>
  </si>
  <si>
    <t>ind_var6_0</t>
  </si>
  <si>
    <t>ind_var6</t>
  </si>
  <si>
    <t>ind_var8_0</t>
  </si>
  <si>
    <t>ind_var8</t>
  </si>
  <si>
    <t>ind_var12_0</t>
  </si>
  <si>
    <t>ind_var12</t>
  </si>
  <si>
    <t>ind_var13_0</t>
  </si>
  <si>
    <t>ind_var13_corto_0</t>
  </si>
  <si>
    <t>ind_var13_corto</t>
  </si>
  <si>
    <t>ind_var13_largo_0</t>
  </si>
  <si>
    <t>ind_var13_largo</t>
  </si>
  <si>
    <t>ind_var13_medio_0</t>
  </si>
  <si>
    <t>ind_var13_medio</t>
  </si>
  <si>
    <t>ind_var13</t>
  </si>
  <si>
    <t>ind_var14_0</t>
  </si>
  <si>
    <t>ind_var14</t>
  </si>
  <si>
    <t>ind_var17_0</t>
  </si>
  <si>
    <t>ind_var17</t>
  </si>
  <si>
    <t>ind_var18_0</t>
  </si>
  <si>
    <t>ind_var18</t>
  </si>
  <si>
    <t>ind_var19</t>
  </si>
  <si>
    <t>ind_var20_0</t>
  </si>
  <si>
    <t>ind_var20</t>
  </si>
  <si>
    <t>ind_var24_0</t>
  </si>
  <si>
    <t>ind_var24</t>
  </si>
  <si>
    <t>ind_var25_cte</t>
  </si>
  <si>
    <t>ind_var26_0</t>
  </si>
  <si>
    <t>ind_var26_cte</t>
  </si>
  <si>
    <t>ind_var26</t>
  </si>
  <si>
    <t>ind_var25_0</t>
  </si>
  <si>
    <t>ind_var25</t>
  </si>
  <si>
    <t>ind_var27_0</t>
  </si>
  <si>
    <t>ind_var28_0</t>
  </si>
  <si>
    <t>ind_var28</t>
  </si>
  <si>
    <t>ind_var27</t>
  </si>
  <si>
    <t>ind_var29_0</t>
  </si>
  <si>
    <t>ind_var29</t>
  </si>
  <si>
    <t>ind_var30_0</t>
  </si>
  <si>
    <t>ind_var30</t>
  </si>
  <si>
    <t>ind_var31_0</t>
  </si>
  <si>
    <t>ind_var31</t>
  </si>
  <si>
    <t>ind_var32_cte</t>
  </si>
  <si>
    <t>ind_var32_0</t>
  </si>
  <si>
    <t>ind_var32</t>
  </si>
  <si>
    <t>ind_var33_0</t>
  </si>
  <si>
    <t>ind_var33</t>
  </si>
  <si>
    <t>ind_var34</t>
  </si>
  <si>
    <t>ind_var37_cte</t>
  </si>
  <si>
    <t>ind_var37_0</t>
  </si>
  <si>
    <t>ind_var37</t>
  </si>
  <si>
    <t>ind_var39_0</t>
  </si>
  <si>
    <t>ind_var40_0</t>
  </si>
  <si>
    <t>ind_var40</t>
  </si>
  <si>
    <t>ind_var41_0</t>
  </si>
  <si>
    <t>ind_var41</t>
  </si>
  <si>
    <t>ind_var39</t>
  </si>
  <si>
    <t>ind_var44_0</t>
  </si>
  <si>
    <t>ind_var44</t>
  </si>
  <si>
    <t>ind_var46_0</t>
  </si>
  <si>
    <t>ind_var46</t>
  </si>
  <si>
    <t>num_var1_0</t>
  </si>
  <si>
    <t>num_var1</t>
  </si>
  <si>
    <t>num_var4</t>
  </si>
  <si>
    <t>num_var5_0</t>
  </si>
  <si>
    <t>num_var5</t>
  </si>
  <si>
    <t>num_var6_0</t>
  </si>
  <si>
    <t>num_var6</t>
  </si>
  <si>
    <t>num_var8_0</t>
  </si>
  <si>
    <t>num_var8</t>
  </si>
  <si>
    <t>num_var12_0</t>
  </si>
  <si>
    <t>num_var12</t>
  </si>
  <si>
    <t>num_var13_0</t>
  </si>
  <si>
    <t>num_var13_corto_0</t>
  </si>
  <si>
    <t>num_var13_corto</t>
  </si>
  <si>
    <t>num_var13_largo_0</t>
  </si>
  <si>
    <t>num_var13_largo</t>
  </si>
  <si>
    <t>num_var13_medio_0</t>
  </si>
  <si>
    <t>num_var13_medio</t>
  </si>
  <si>
    <t>num_var13</t>
  </si>
  <si>
    <t>num_var14_0</t>
  </si>
  <si>
    <t>num_var14</t>
  </si>
  <si>
    <t>num_var17_0</t>
  </si>
  <si>
    <t>num_var17</t>
  </si>
  <si>
    <t>num_var18_0</t>
  </si>
  <si>
    <t>num_var18</t>
  </si>
  <si>
    <t>num_var20_0</t>
  </si>
  <si>
    <t>num_var20</t>
  </si>
  <si>
    <t>num_var24_0</t>
  </si>
  <si>
    <t>num_var24</t>
  </si>
  <si>
    <t>num_var26_0</t>
  </si>
  <si>
    <t>num_var26</t>
  </si>
  <si>
    <t>num_var25_0</t>
  </si>
  <si>
    <t>num_var25</t>
  </si>
  <si>
    <t>num_op_var40_hace2</t>
  </si>
  <si>
    <t>num_op_var40_hace3</t>
  </si>
  <si>
    <t>num_op_var40_ult1</t>
  </si>
  <si>
    <t>num_op_var40_ult3</t>
  </si>
  <si>
    <t>num_op_var41_hace2</t>
  </si>
  <si>
    <t>num_op_var41_hace3</t>
  </si>
  <si>
    <t>num_op_var41_ult1</t>
  </si>
  <si>
    <t>num_op_var41_ult3</t>
  </si>
  <si>
    <t>num_op_var39_hace2</t>
  </si>
  <si>
    <t>num_op_var39_hace3</t>
  </si>
  <si>
    <t>num_op_var39_ult1</t>
  </si>
  <si>
    <t>num_op_var39_ult3</t>
  </si>
  <si>
    <t>num_var27_0</t>
  </si>
  <si>
    <t>num_var28_0</t>
  </si>
  <si>
    <t>num_var28</t>
  </si>
  <si>
    <t>num_var27</t>
  </si>
  <si>
    <t>num_var29_0</t>
  </si>
  <si>
    <t>num_var29</t>
  </si>
  <si>
    <t>num_var30_0</t>
  </si>
  <si>
    <t>num_var30</t>
  </si>
  <si>
    <t>num_var31_0</t>
  </si>
  <si>
    <t>num_var31</t>
  </si>
  <si>
    <t>num_var32_0</t>
  </si>
  <si>
    <t>num_var32</t>
  </si>
  <si>
    <t>num_var33_0</t>
  </si>
  <si>
    <t>num_var33</t>
  </si>
  <si>
    <t>num_var34_0</t>
  </si>
  <si>
    <t>num_var34</t>
  </si>
  <si>
    <t>num_var35</t>
  </si>
  <si>
    <t>num_var37_med_ult2</t>
  </si>
  <si>
    <t>num_var37_0</t>
  </si>
  <si>
    <t>num_var37</t>
  </si>
  <si>
    <t>num_var39_0</t>
  </si>
  <si>
    <t>num_var40_0</t>
  </si>
  <si>
    <t>num_var40</t>
  </si>
  <si>
    <t>num_var41_0</t>
  </si>
  <si>
    <t>num_var41</t>
  </si>
  <si>
    <t>num_var39</t>
  </si>
  <si>
    <t>num_var42_0</t>
  </si>
  <si>
    <t>num_var42</t>
  </si>
  <si>
    <t>num_var44_0</t>
  </si>
  <si>
    <t>num_var44</t>
  </si>
  <si>
    <t>num_var46_0</t>
  </si>
  <si>
    <t>num_var46</t>
  </si>
  <si>
    <t>saldo_var1</t>
  </si>
  <si>
    <t>saldo_var5</t>
  </si>
  <si>
    <t>saldo_var6</t>
  </si>
  <si>
    <t>saldo_var8</t>
  </si>
  <si>
    <t>saldo_var12</t>
  </si>
  <si>
    <t>saldo_var13_corto</t>
  </si>
  <si>
    <t>saldo_var13_largo</t>
  </si>
  <si>
    <t>saldo_var13_medio</t>
  </si>
  <si>
    <t>saldo_var13</t>
  </si>
  <si>
    <t>saldo_var14</t>
  </si>
  <si>
    <t>saldo_var17</t>
  </si>
  <si>
    <t>saldo_var18</t>
  </si>
  <si>
    <t>saldo_var20</t>
  </si>
  <si>
    <t>saldo_var24</t>
  </si>
  <si>
    <t>saldo_var26</t>
  </si>
  <si>
    <t>saldo_var25</t>
  </si>
  <si>
    <t>saldo_var28</t>
  </si>
  <si>
    <t>saldo_var27</t>
  </si>
  <si>
    <t>saldo_var29</t>
  </si>
  <si>
    <t>saldo_var30</t>
  </si>
  <si>
    <t>saldo_var31</t>
  </si>
  <si>
    <t>saldo_var32</t>
  </si>
  <si>
    <t>saldo_var33</t>
  </si>
  <si>
    <t>saldo_var34</t>
  </si>
  <si>
    <t>saldo_var37</t>
  </si>
  <si>
    <t>saldo_var40</t>
  </si>
  <si>
    <t>saldo_var41</t>
  </si>
  <si>
    <t>saldo_var42</t>
  </si>
  <si>
    <t>saldo_var44</t>
  </si>
  <si>
    <t>saldo_var46</t>
  </si>
  <si>
    <t>var36</t>
  </si>
  <si>
    <t>delta_imp_amort_var18_1y3</t>
  </si>
  <si>
    <t>delta_imp_amort_var34_1y3</t>
  </si>
  <si>
    <t>delta_imp_aport_var13_1y3</t>
  </si>
  <si>
    <t>delta_imp_aport_var17_1y3</t>
  </si>
  <si>
    <t>delta_imp_aport_var33_1y3</t>
  </si>
  <si>
    <t>delta_imp_compra_var44_1y3</t>
  </si>
  <si>
    <t>delta_imp_reemb_var13_1y3</t>
  </si>
  <si>
    <t>delta_imp_reemb_var17_1y3</t>
  </si>
  <si>
    <t>delta_imp_reemb_var33_1y3</t>
  </si>
  <si>
    <t>delta_imp_trasp_var17_in_1y3</t>
  </si>
  <si>
    <t>delta_imp_trasp_var17_out_1y3</t>
  </si>
  <si>
    <t>delta_imp_trasp_var33_in_1y3</t>
  </si>
  <si>
    <t>delta_imp_trasp_var33_out_1y3</t>
  </si>
  <si>
    <t>delta_imp_venta_var44_1y3</t>
  </si>
  <si>
    <t>delta_num_aport_var13_1y3</t>
  </si>
  <si>
    <t>delta_num_aport_var17_1y3</t>
  </si>
  <si>
    <t>delta_num_aport_var33_1y3</t>
  </si>
  <si>
    <t>delta_num_compra_var44_1y3</t>
  </si>
  <si>
    <t>delta_num_reemb_var13_1y3</t>
  </si>
  <si>
    <t>delta_num_reemb_var17_1y3</t>
  </si>
  <si>
    <t>delta_num_reemb_var33_1y3</t>
  </si>
  <si>
    <t>delta_num_trasp_var17_in_1y3</t>
  </si>
  <si>
    <t>delta_num_trasp_var17_out_1y3</t>
  </si>
  <si>
    <t>delta_num_trasp_var33_in_1y3</t>
  </si>
  <si>
    <t>delta_num_trasp_var33_out_1y3</t>
  </si>
  <si>
    <t>delta_num_venta_var44_1y3</t>
  </si>
  <si>
    <t>imp_amort_var18_hace3</t>
  </si>
  <si>
    <t>imp_amort_var34_hace3</t>
  </si>
  <si>
    <t>imp_amort_var34_ult1</t>
  </si>
  <si>
    <t>imp_aport_var13_hace3</t>
  </si>
  <si>
    <t>imp_aport_var13_ult1</t>
  </si>
  <si>
    <t>imp_aport_var17_hace3</t>
  </si>
  <si>
    <t>imp_aport_var17_ult1</t>
  </si>
  <si>
    <t>imp_aport_var33_hace3</t>
  </si>
  <si>
    <t>imp_aport_var33_ult1</t>
  </si>
  <si>
    <t>imp_var7_emit_ult1</t>
  </si>
  <si>
    <t>imp_var7_recib_ult1</t>
  </si>
  <si>
    <t>imp_compra_var44_hace3</t>
  </si>
  <si>
    <t>imp_compra_var44_ult1</t>
  </si>
  <si>
    <t>imp_reemb_var13_hace3</t>
  </si>
  <si>
    <t>imp_reemb_var13_ult1</t>
  </si>
  <si>
    <t>imp_reemb_var17_hace3</t>
  </si>
  <si>
    <t>imp_reemb_var17_ult1</t>
  </si>
  <si>
    <t>imp_reemb_var33_hace3</t>
  </si>
  <si>
    <t>imp_reemb_var33_ult1</t>
  </si>
  <si>
    <t>imp_trans_var37_ult1</t>
  </si>
  <si>
    <t>imp_trasp_var17_in_hace3</t>
  </si>
  <si>
    <t>imp_trasp_var17_in_ult1</t>
  </si>
  <si>
    <t>imp_trasp_var17_out_hace3</t>
  </si>
  <si>
    <t>imp_trasp_var17_out_ult1</t>
  </si>
  <si>
    <t>imp_trasp_var33_in_hace3</t>
  </si>
  <si>
    <t>imp_trasp_var33_out_ult1</t>
  </si>
  <si>
    <t>imp_venta_var44_hace3</t>
  </si>
  <si>
    <t>imp_venta_var44_ult1</t>
  </si>
  <si>
    <t>ind_var7_emit_ult1</t>
  </si>
  <si>
    <t>ind_var7_recib_ult1</t>
  </si>
  <si>
    <t>ind_var10_ult1</t>
  </si>
  <si>
    <t>ind_var10cte_ult1</t>
  </si>
  <si>
    <t>ind_var9_cte_ult1</t>
  </si>
  <si>
    <t>ind_var9_ult1</t>
  </si>
  <si>
    <t>ind_var43_emit_ult1</t>
  </si>
  <si>
    <t>ind_var43_recib_ult1</t>
  </si>
  <si>
    <t>var21</t>
  </si>
  <si>
    <t>num_var2_0_ult1</t>
  </si>
  <si>
    <t>num_var2_ult1</t>
  </si>
  <si>
    <t>num_aport_var13_hace3</t>
  </si>
  <si>
    <t>num_aport_var13_ult1</t>
  </si>
  <si>
    <t>num_aport_var17_hace3</t>
  </si>
  <si>
    <t>num_aport_var17_ult1</t>
  </si>
  <si>
    <t>num_aport_var33_hace3</t>
  </si>
  <si>
    <t>num_aport_var33_ult1</t>
  </si>
  <si>
    <t>num_var7_emit_ult1</t>
  </si>
  <si>
    <t>num_var7_recib_ult1</t>
  </si>
  <si>
    <t>num_compra_var44_hace3</t>
  </si>
  <si>
    <t>num_compra_var44_ult1</t>
  </si>
  <si>
    <t>num_ent_var16_ult1</t>
  </si>
  <si>
    <t>num_var22_hace2</t>
  </si>
  <si>
    <t>num_var22_hace3</t>
  </si>
  <si>
    <t>num_var22_ult1</t>
  </si>
  <si>
    <t>num_var22_ult3</t>
  </si>
  <si>
    <t>num_med_var22_ult3</t>
  </si>
  <si>
    <t>num_med_var45_ult3</t>
  </si>
  <si>
    <t>num_meses_var5_ult3</t>
  </si>
  <si>
    <t>num_meses_var8_ult3</t>
  </si>
  <si>
    <t>num_meses_var12_ult3</t>
  </si>
  <si>
    <t>num_meses_var13_corto_ult3</t>
  </si>
  <si>
    <t>num_meses_var13_largo_ult3</t>
  </si>
  <si>
    <t>num_meses_var13_medio_ult3</t>
  </si>
  <si>
    <t>num_meses_var17_ult3</t>
  </si>
  <si>
    <t>num_meses_var29_ult3</t>
  </si>
  <si>
    <t>num_meses_var33_ult3</t>
  </si>
  <si>
    <t>num_meses_var39_vig_ult3</t>
  </si>
  <si>
    <t>num_meses_var44_ult3</t>
  </si>
  <si>
    <t>num_op_var39_comer_ult1</t>
  </si>
  <si>
    <t>num_op_var39_comer_ult3</t>
  </si>
  <si>
    <t>num_op_var40_comer_ult1</t>
  </si>
  <si>
    <t>num_op_var40_comer_ult3</t>
  </si>
  <si>
    <t>num_op_var40_efect_ult1</t>
  </si>
  <si>
    <t>num_op_var40_efect_ult3</t>
  </si>
  <si>
    <t>num_op_var41_comer_ult1</t>
  </si>
  <si>
    <t>num_op_var41_comer_ult3</t>
  </si>
  <si>
    <t>num_op_var41_efect_ult1</t>
  </si>
  <si>
    <t>num_op_var41_efect_ult3</t>
  </si>
  <si>
    <t>num_op_var39_efect_ult1</t>
  </si>
  <si>
    <t>num_op_var39_efect_ult3</t>
  </si>
  <si>
    <t>num_reemb_var13_hace3</t>
  </si>
  <si>
    <t>num_reemb_var13_ult1</t>
  </si>
  <si>
    <t>num_reemb_var17_hace3</t>
  </si>
  <si>
    <t>num_reemb_var17_ult1</t>
  </si>
  <si>
    <t>num_reemb_var33_hace3</t>
  </si>
  <si>
    <t>num_reemb_var33_ult1</t>
  </si>
  <si>
    <t>num_sal_var16_ult1</t>
  </si>
  <si>
    <t>num_var43_emit_ult1</t>
  </si>
  <si>
    <t>num_var43_recib_ult1</t>
  </si>
  <si>
    <t>num_trasp_var11_ult1</t>
  </si>
  <si>
    <t>num_trasp_var17_in_hace3</t>
  </si>
  <si>
    <t>num_trasp_var17_in_ult1</t>
  </si>
  <si>
    <t>num_trasp_var17_out_hace3</t>
  </si>
  <si>
    <t>num_trasp_var17_out_ult1</t>
  </si>
  <si>
    <t>num_trasp_var33_in_hace3</t>
  </si>
  <si>
    <t>num_trasp_var33_in_ult1</t>
  </si>
  <si>
    <t>num_trasp_var33_out_hace3</t>
  </si>
  <si>
    <t>num_trasp_var33_out_ult1</t>
  </si>
  <si>
    <t>num_venta_var44_hace3</t>
  </si>
  <si>
    <t>num_venta_var44_ult1</t>
  </si>
  <si>
    <t>num_var45_hace2</t>
  </si>
  <si>
    <t>num_var45_hace3</t>
  </si>
  <si>
    <t>num_var45_ult1</t>
  </si>
  <si>
    <t>num_var45_ult3</t>
  </si>
  <si>
    <t>saldo_var2_ult1</t>
  </si>
  <si>
    <t>saldo_medio_var5_hace2</t>
  </si>
  <si>
    <t>saldo_medio_var5_hace3</t>
  </si>
  <si>
    <t>saldo_medio_var5_ult1</t>
  </si>
  <si>
    <t>saldo_medio_var5_ult3</t>
  </si>
  <si>
    <t>saldo_medio_var8_hace2</t>
  </si>
  <si>
    <t>saldo_medio_var8_hace3</t>
  </si>
  <si>
    <t>saldo_medio_var8_ult1</t>
  </si>
  <si>
    <t>saldo_medio_var8_ult3</t>
  </si>
  <si>
    <t>saldo_medio_var12_hace2</t>
  </si>
  <si>
    <t>saldo_medio_var12_hace3</t>
  </si>
  <si>
    <t>saldo_medio_var12_ult1</t>
  </si>
  <si>
    <t>saldo_medio_var12_ult3</t>
  </si>
  <si>
    <t>saldo_medio_var13_corto_hace2</t>
  </si>
  <si>
    <t>saldo_medio_var13_corto_hace3</t>
  </si>
  <si>
    <t>saldo_medio_var13_corto_ult1</t>
  </si>
  <si>
    <t>saldo_medio_var13_corto_ult3</t>
  </si>
  <si>
    <t>saldo_medio_var13_largo_hace2</t>
  </si>
  <si>
    <t>saldo_medio_var13_largo_hace3</t>
  </si>
  <si>
    <t>saldo_medio_var13_largo_ult1</t>
  </si>
  <si>
    <t>saldo_medio_var13_largo_ult3</t>
  </si>
  <si>
    <t>saldo_medio_var13_medio_hace2</t>
  </si>
  <si>
    <t>saldo_medio_var13_medio_hace3</t>
  </si>
  <si>
    <t>saldo_medio_var13_medio_ult1</t>
  </si>
  <si>
    <t>saldo_medio_var13_medio_ult3</t>
  </si>
  <si>
    <t>saldo_medio_var17_hace2</t>
  </si>
  <si>
    <t>saldo_medio_var17_hace3</t>
  </si>
  <si>
    <t>saldo_medio_var17_ult1</t>
  </si>
  <si>
    <t>saldo_medio_var17_ult3</t>
  </si>
  <si>
    <t>saldo_medio_var29_hace2</t>
  </si>
  <si>
    <t>saldo_medio_var29_hace3</t>
  </si>
  <si>
    <t>saldo_medio_var29_ult1</t>
  </si>
  <si>
    <t>saldo_medio_var29_ult3</t>
  </si>
  <si>
    <t>saldo_medio_var33_hace2</t>
  </si>
  <si>
    <t>saldo_medio_var33_hace3</t>
  </si>
  <si>
    <t>saldo_medio_var33_ult1</t>
  </si>
  <si>
    <t>saldo_medio_var33_ult3</t>
  </si>
  <si>
    <t>saldo_medio_var44_hace2</t>
  </si>
  <si>
    <t>saldo_medio_var44_hace3</t>
  </si>
  <si>
    <t>saldo_medio_var44_ult1</t>
  </si>
  <si>
    <t>saldo_medio_var44_ult3</t>
  </si>
  <si>
    <t>var38</t>
  </si>
  <si>
    <t>담당자</t>
    <phoneticPr fontId="2" type="noConversion"/>
  </si>
  <si>
    <t>파악한 특성</t>
    <phoneticPr fontId="2" type="noConversion"/>
  </si>
  <si>
    <t>fillna할 값</t>
    <phoneticPr fontId="2" type="noConversion"/>
  </si>
  <si>
    <t>삭제여부(Y/N)</t>
    <phoneticPr fontId="2" type="noConversion"/>
  </si>
  <si>
    <t>엄재민(EJM)</t>
    <phoneticPr fontId="2" type="noConversion"/>
  </si>
  <si>
    <t>권준호(KJH)</t>
    <phoneticPr fontId="2" type="noConversion"/>
  </si>
  <si>
    <t xml:space="preserve">피처 명 </t>
    <phoneticPr fontId="2" type="noConversion"/>
  </si>
  <si>
    <t>이경주(LKJ)</t>
    <phoneticPr fontId="2" type="noConversion"/>
  </si>
  <si>
    <t>ind_var34_0</t>
    <phoneticPr fontId="2" type="noConversion"/>
  </si>
  <si>
    <t>이승재(LSJ)</t>
    <phoneticPr fontId="2" type="noConversion"/>
  </si>
  <si>
    <t>윤지훈(YJH)</t>
    <phoneticPr fontId="2" type="noConversion"/>
  </si>
  <si>
    <t>Y</t>
    <phoneticPr fontId="2" type="noConversion"/>
  </si>
  <si>
    <t>총삭제할 피처수</t>
    <phoneticPr fontId="2" type="noConversion"/>
  </si>
  <si>
    <t>ex:) 캐글 답안지 작성용</t>
    <phoneticPr fontId="2" type="noConversion"/>
  </si>
  <si>
    <t>fillna할 피터수</t>
    <phoneticPr fontId="2" type="noConversion"/>
  </si>
  <si>
    <t>Y</t>
  </si>
  <si>
    <t>거래횟수</t>
    <phoneticPr fontId="2" type="noConversion"/>
  </si>
  <si>
    <t>거래횟수 - zero_count &gt; 95% 이상</t>
    <phoneticPr fontId="2" type="noConversion"/>
  </si>
  <si>
    <t>최근 기간 var18 대출 상환 금액/ 76018</t>
    <phoneticPr fontId="2" type="noConversion"/>
  </si>
  <si>
    <r>
      <t>최근 기간 var34 대출 상환 금액/</t>
    </r>
    <r>
      <rPr>
        <b/>
        <sz val="11"/>
        <color theme="1"/>
        <rFont val="맑은 고딕"/>
        <family val="3"/>
        <charset val="129"/>
        <scheme val="minor"/>
      </rPr>
      <t>76018</t>
    </r>
    <phoneticPr fontId="2" type="noConversion"/>
  </si>
  <si>
    <t>3개월 전 var13 입금/불입 금액</t>
    <phoneticPr fontId="2" type="noConversion"/>
  </si>
  <si>
    <t>최근 기간 var13 입금/불입 금액/75619</t>
    <phoneticPr fontId="2" type="noConversion"/>
  </si>
  <si>
    <t>3개월 전 var17 입금 금액</t>
    <phoneticPr fontId="2" type="noConversion"/>
  </si>
  <si>
    <t>최근 기간 var17 입금 금액</t>
    <phoneticPr fontId="2" type="noConversion"/>
  </si>
  <si>
    <t>3개월 전 var33 입금 금액</t>
  </si>
  <si>
    <t>최근 기간 var33 입금 금액</t>
  </si>
  <si>
    <t>최근 기간 var7 관련 송금(보낸 금액)</t>
  </si>
  <si>
    <t>최근 기간 var7 관련 수신(받은 금액)</t>
  </si>
  <si>
    <t>3개월 전 var44 구매 금액</t>
  </si>
  <si>
    <t>최근 기간 var44 구매 금액</t>
  </si>
  <si>
    <t>데이터가 전부 0</t>
    <phoneticPr fontId="2" type="noConversion"/>
  </si>
  <si>
    <t>최근 기간 var13 환불 금액</t>
  </si>
  <si>
    <t>3개월 전 var17 환불 금액</t>
  </si>
  <si>
    <t>최근 기간 var17 환불 금액</t>
    <phoneticPr fontId="2" type="noConversion"/>
  </si>
  <si>
    <t>최근 기간 var33 환불 금액</t>
  </si>
  <si>
    <t>최근 기간 var43 송금(보낸 금액)</t>
  </si>
  <si>
    <t>최근 기간 var37 이체 금액</t>
  </si>
  <si>
    <t>3개월 전 var17 자산 이동 유입(in) 금액</t>
    <phoneticPr fontId="2" type="noConversion"/>
  </si>
  <si>
    <t>최근 기간 var17 자산 이동 유입 금액</t>
  </si>
  <si>
    <t>최근 기간 var17 자산 이동 유출(out) 금액</t>
  </si>
  <si>
    <t>3개월 전 var33 자산 이동 유입 금액</t>
    <phoneticPr fontId="2" type="noConversion"/>
  </si>
  <si>
    <t>최근 기간 var33 자산 이동 유입 금액</t>
  </si>
  <si>
    <t>최근 기간 var33 자산 이동 유출 금액</t>
  </si>
  <si>
    <t>3개월 전 var44 판매 금액</t>
  </si>
  <si>
    <t xml:space="preserve"> 최근 기간 var44 판매 금액</t>
    <phoneticPr fontId="2" type="noConversion"/>
  </si>
  <si>
    <t>최근 기간 var7 송금 기능 사용 여부(1/0)</t>
    <phoneticPr fontId="2" type="noConversion"/>
  </si>
  <si>
    <t>최근 기간 var7 수신 기능 사용 여부(1/0)</t>
    <phoneticPr fontId="2" type="noConversion"/>
  </si>
  <si>
    <t>최근 기간 var10 상품 보유 여부</t>
  </si>
  <si>
    <t>최근 기간 var10 계좌(당좌/체크) 보유 여부</t>
  </si>
  <si>
    <t>최근 기간 var9 계좌 보유 여부</t>
  </si>
  <si>
    <t>최근 기간 var9 상품 보유 여부</t>
  </si>
  <si>
    <t>최근 기간 var43 송금 기능 사용 여부</t>
  </si>
  <si>
    <t>최근 기간 var43 수신 기능 사용 여부</t>
  </si>
  <si>
    <t>고객 관련 내부 코드/75152</t>
    <phoneticPr fontId="2" type="noConversion"/>
  </si>
  <si>
    <t>3개월 전 var13 입금 횟수</t>
    <phoneticPr fontId="2" type="noConversion"/>
  </si>
  <si>
    <t>최근 기간 var13 입금 횟수</t>
    <phoneticPr fontId="2" type="noConversion"/>
  </si>
  <si>
    <t>3개월 전 var17 입금 횟수</t>
  </si>
  <si>
    <t>최근 기간 var17 입금 횟수</t>
  </si>
  <si>
    <t>3개월 전 var33 입금 횟수</t>
  </si>
  <si>
    <t>최근 기간 var33 입금 횟수</t>
  </si>
  <si>
    <t>최근 기간 var7 송금 횟수</t>
  </si>
  <si>
    <t>최근 기간 var7 수신 횟수</t>
  </si>
  <si>
    <t>3개월 전 var44 구매 횟수</t>
  </si>
  <si>
    <t>최근 기간 var44 구매 횟수</t>
  </si>
  <si>
    <t>최근 기간 var16 입고/예치 횟수/72301</t>
    <phoneticPr fontId="2" type="noConversion"/>
  </si>
  <si>
    <t>2개월 전 var22 활동 횟수/60541</t>
    <phoneticPr fontId="2" type="noConversion"/>
  </si>
  <si>
    <t>3개월 전 var22 활동 횟수/61880</t>
    <phoneticPr fontId="2" type="noConversion"/>
  </si>
  <si>
    <t>최근 기간 var22 활동 횟수/67953</t>
    <phoneticPr fontId="2" type="noConversion"/>
  </si>
  <si>
    <t>최근 3개월 동안 var22 활동 총 횟수/49954</t>
    <phoneticPr fontId="2" type="noConversion"/>
  </si>
  <si>
    <t>최근 3개월 동안 var22 월평균 활동 횟수/64766</t>
    <phoneticPr fontId="2" type="noConversion"/>
  </si>
  <si>
    <t>최근 3개월 동안 var45 월평균 활동 횟수/51408</t>
    <phoneticPr fontId="2" type="noConversion"/>
  </si>
  <si>
    <t>최근 3개월 동안 var5 이용 월수/20546</t>
    <phoneticPr fontId="2" type="noConversion"/>
  </si>
  <si>
    <t>최근 3개월 동안 var8 이용 월수/73805</t>
    <phoneticPr fontId="2" type="noConversion"/>
  </si>
  <si>
    <t>최근 3개월 동안 var12 이용 월수/72537</t>
    <phoneticPr fontId="2" type="noConversion"/>
  </si>
  <si>
    <t>최근 3개월 동안 var13 단기 상품 이용 월수/72760</t>
    <phoneticPr fontId="2" type="noConversion"/>
  </si>
  <si>
    <t>최근 3개월 동안 var13 장기 상품 이용 월수/75477</t>
    <phoneticPr fontId="2" type="noConversion"/>
  </si>
  <si>
    <t>최근 3개월 동안 var13 중기 상품 이용 월수/76018</t>
    <phoneticPr fontId="2" type="noConversion"/>
  </si>
  <si>
    <t>최근 3개월 동안 var17 이용 월수/75897</t>
    <phoneticPr fontId="2" type="noConversion"/>
  </si>
  <si>
    <t>최근 3개월 동안 var29 이용 월수/76015</t>
    <phoneticPr fontId="2" type="noConversion"/>
  </si>
  <si>
    <t>최근 3개월 동안 var33 이용 월수/75972</t>
    <phoneticPr fontId="2" type="noConversion"/>
  </si>
  <si>
    <t>최근 3개월 동안 var39 활성(유효) 월수/10164</t>
    <phoneticPr fontId="2" type="noConversion"/>
  </si>
  <si>
    <t>최근 3개월 동안 var44 이용 월수/75877</t>
    <phoneticPr fontId="2" type="noConversion"/>
  </si>
  <si>
    <t>최근 기간 var39 관련 상업 거래 횟수/66075</t>
    <phoneticPr fontId="2" type="noConversion"/>
  </si>
  <si>
    <t>최근 3개월 var39 상업 거래 횟수/64330</t>
    <phoneticPr fontId="2" type="noConversion"/>
  </si>
  <si>
    <t>최근 기간 var40 상업 거래 횟수/75725</t>
    <phoneticPr fontId="2" type="noConversion"/>
  </si>
  <si>
    <t>최근 3개월 var40 상업 거래 횟수/75672</t>
    <phoneticPr fontId="2" type="noConversion"/>
  </si>
  <si>
    <t>imp_amort_var18_ult1</t>
    <phoneticPr fontId="2" type="noConversion"/>
  </si>
  <si>
    <t>imp_var43_emit_ult1</t>
    <phoneticPr fontId="2" type="noConversion"/>
  </si>
  <si>
    <t>imp_trasp_var33_in_ult1</t>
    <phoneticPr fontId="2" type="noConversion"/>
  </si>
  <si>
    <t>imp_trasp_var33_out_hace3</t>
    <phoneticPr fontId="2" type="noConversion"/>
  </si>
  <si>
    <t>최근 1개월 특별 현금 거래 횟수</t>
    <phoneticPr fontId="2" type="noConversion"/>
  </si>
  <si>
    <t>최근 3개월 특별 현금 거래 총 횟수</t>
  </si>
  <si>
    <t>최근 1개월 온라인 거래 횟수</t>
  </si>
  <si>
    <t>최근 3개월 온라인 거래 총 횟수</t>
  </si>
  <si>
    <t>최근 1개월 모바일 거래 횟수</t>
  </si>
  <si>
    <t>최근 3개월 모바일 거래 총 횟수</t>
    <phoneticPr fontId="2" type="noConversion"/>
  </si>
  <si>
    <t>최근 1개월 현금 거래 횟수</t>
  </si>
  <si>
    <t>최근 3개월 현금 거래 총 횟수</t>
    <phoneticPr fontId="2" type="noConversion"/>
  </si>
  <si>
    <t>3개월 전 상환 횟수</t>
  </si>
  <si>
    <t>최근 1개월 상환 횟수</t>
  </si>
  <si>
    <t>3개월 전 특정 상환 횟수</t>
  </si>
  <si>
    <t>최근 1개월 특정 상환 횟수</t>
    <phoneticPr fontId="2" type="noConversion"/>
  </si>
  <si>
    <t>3개월 전 대출 상환 횟수</t>
  </si>
  <si>
    <t>최근 1개월 대출 상환 횟수</t>
  </si>
  <si>
    <t>최근 1개월 출금 횟수</t>
  </si>
  <si>
    <t>최근 1개월 카드 발급 건수</t>
  </si>
  <si>
    <t>최근 1개월 카드 수령 건수</t>
  </si>
  <si>
    <t>최근 1개월 일반 이체 횟수</t>
    <phoneticPr fontId="2" type="noConversion"/>
  </si>
  <si>
    <t>3개월 전 이체 입금 횟수</t>
  </si>
  <si>
    <t>최근 1개월 이체 입금 횟수</t>
  </si>
  <si>
    <t>3개월 전 이체 출금 횟수</t>
  </si>
  <si>
    <t>최근 1개월 이체 출금 횟수</t>
  </si>
  <si>
    <t>3개월 전 정기 이체 입금 횟수</t>
  </si>
  <si>
    <t>최근 1개월 정기 이체 입금 횟수</t>
  </si>
  <si>
    <t>3개월 전 정기 이체 출금 횟수</t>
  </si>
  <si>
    <t>최근 1개월 정기 이체 출금 횟수</t>
  </si>
  <si>
    <t>3개월 전 판매 건수</t>
  </si>
  <si>
    <t>최근 1개월 판매 건수</t>
  </si>
  <si>
    <t>2개월 전 특정 거래 건수</t>
  </si>
  <si>
    <t>3개월 전 특정 거래 건수</t>
  </si>
  <si>
    <t>최근 1개월 특정 거래 건수</t>
  </si>
  <si>
    <t>최근 3개월 특정 거래 총 건수</t>
  </si>
  <si>
    <t>최근 1개월 특정 계좌 잔액</t>
  </si>
  <si>
    <t>2개월 전 주계좌 평균 잔액 (중요)</t>
  </si>
  <si>
    <t>N</t>
    <phoneticPr fontId="2" type="noConversion"/>
  </si>
  <si>
    <t>3개월 전 주계좌 평균 잔액</t>
  </si>
  <si>
    <t>최근 1개월 주계좌 평균 잔액</t>
  </si>
  <si>
    <t>최근 3개월 주계좌 평균 잔액</t>
  </si>
  <si>
    <t>2개월 전 정기예금 평균 잔액</t>
  </si>
  <si>
    <t>3개월 전 정기예금 평균 잔액</t>
  </si>
  <si>
    <t>최근 1개월 정기예금 평균 잔액</t>
  </si>
  <si>
    <t>최근 3개월 정기예금 평균 잔액</t>
  </si>
  <si>
    <t>2개월 전 대출 평균 잔액</t>
  </si>
  <si>
    <t>3개월 전 대출 평균 잔액</t>
  </si>
  <si>
    <t>최근 1개월 대출 평균 잔액</t>
  </si>
  <si>
    <t>최근 3개월 대출 평균 잔액</t>
  </si>
  <si>
    <t>2개월 전 단기상품 평균 잔액</t>
  </si>
  <si>
    <t>3개월 전 단기상품 평균 잔액</t>
  </si>
  <si>
    <t>최근 1개월 단기상품 평균 잔액</t>
  </si>
  <si>
    <t>최근 3개월 단기상품 평균 잔액</t>
  </si>
  <si>
    <t>2개월 전 장기상품 평균 잔액</t>
  </si>
  <si>
    <t>3개월 전 장기상품 평균 잔액</t>
  </si>
  <si>
    <t>최근 1개월 장기상품 평균 잔액</t>
  </si>
  <si>
    <t>최근 3개월 장기상품 평균 잔액</t>
  </si>
  <si>
    <t>2개월 전 중기상품 평균 잔액</t>
  </si>
  <si>
    <t>3개월 전 중기상품 평균 잔액</t>
    <phoneticPr fontId="2" type="noConversion"/>
  </si>
  <si>
    <t>최근 1개월 중기상품 평균 잔액</t>
  </si>
  <si>
    <t>최근 3개월 중기상품 평균 잔액</t>
  </si>
  <si>
    <t>2개월 전 연금 평균 잔액</t>
  </si>
  <si>
    <t>3개월 전 연금 평균 잔액</t>
    <phoneticPr fontId="2" type="noConversion"/>
  </si>
  <si>
    <t>최근 1개월 연금 평균 잔액</t>
  </si>
  <si>
    <t>최근 3개월 연금 평균 잔액</t>
  </si>
  <si>
    <t>2개월 전 펀드 평균 잔액</t>
  </si>
  <si>
    <t>3개월 전 펀드 평균 잔액</t>
  </si>
  <si>
    <t>최근 1개월 펀드 평균 잔액</t>
  </si>
  <si>
    <t>최근 3개월 펀드 평균 잔액</t>
  </si>
  <si>
    <t>2개월 전 급여계좌 평균 잔액</t>
  </si>
  <si>
    <t>3개월 전 급여계좌 평균 잔액</t>
  </si>
  <si>
    <t>최근 1개월 급여계좌 평균 잔액</t>
  </si>
  <si>
    <t>최근 3개월 급여계좌 평균 잔액</t>
  </si>
  <si>
    <t>2개월 전 카드 평균 사용액</t>
  </si>
  <si>
    <t>3개월 전 카드 평균 사용액</t>
  </si>
  <si>
    <t>최근 1개월 카드 평균 사용액</t>
    <phoneticPr fontId="2" type="noConversion"/>
  </si>
  <si>
    <t>최근 3개월 카드 평균 사용액</t>
  </si>
  <si>
    <t>리스크 스코어 (117310.979016494 특수값이 불만족 고객의 강력한 시그널, 최상위 중요 변수)</t>
  </si>
  <si>
    <t>사전 처리된 데이터</t>
    <phoneticPr fontId="2" type="noConversion"/>
  </si>
  <si>
    <t>결측치를 -99999로 처리한듯함 최빈값 2로 대체가능</t>
    <phoneticPr fontId="2" type="noConversion"/>
  </si>
  <si>
    <t>고객 나이로 추정</t>
    <phoneticPr fontId="2" type="noConversion"/>
  </si>
  <si>
    <t xml:space="preserve">최근 1개월 동안 var16 상품에 입금된 금액 </t>
    <phoneticPr fontId="2" type="noConversion"/>
  </si>
  <si>
    <t>최근 1개월 동안 var39 상품의 상업적 거래로 거래된 금액</t>
    <phoneticPr fontId="2" type="noConversion"/>
  </si>
  <si>
    <t>최근 3개월 동안 var39 상품의 상업적 거래로 거래된 금액</t>
    <phoneticPr fontId="2" type="noConversion"/>
  </si>
  <si>
    <t>최근 1개월 동안 var40 상품의 현금 거래로 거래된 금액</t>
    <phoneticPr fontId="2" type="noConversion"/>
  </si>
  <si>
    <t>최근 3개월 동안 var40 상품의 현금 거래로 거래된 금액</t>
    <phoneticPr fontId="2" type="noConversion"/>
  </si>
  <si>
    <t xml:space="preserve">최근 1개월 동안 var40 상품에 거래된 금액 </t>
    <phoneticPr fontId="2" type="noConversion"/>
  </si>
  <si>
    <t>최근 1개월 동안 var41 상품의 상업적 거래로 거래된 금액</t>
    <phoneticPr fontId="2" type="noConversion"/>
  </si>
  <si>
    <t>최근 3개월 동안 var41 상품의 상업적 거래로 거래된 금액</t>
    <phoneticPr fontId="2" type="noConversion"/>
  </si>
  <si>
    <t>최근 1개월 동안 var41 상품의 현금 거래로 거래된 금액</t>
    <phoneticPr fontId="2" type="noConversion"/>
  </si>
  <si>
    <t>최근 3개월 동안 var41 상품의 현금 거래로 거래된 금액</t>
    <phoneticPr fontId="2" type="noConversion"/>
  </si>
  <si>
    <t xml:space="preserve">최근 1개월 동안 var41 상품에 거래된 금액 </t>
    <phoneticPr fontId="2" type="noConversion"/>
  </si>
  <si>
    <t>최근 1개월 동안 var39 상품의 현금 거래로 거래된 금액</t>
    <phoneticPr fontId="2" type="noConversion"/>
  </si>
  <si>
    <t>최근 3개월 동안 var39 상품의 현금 거래로 거래된 금액</t>
    <phoneticPr fontId="2" type="noConversion"/>
  </si>
  <si>
    <t xml:space="preserve">최근 1개월 동안 var39 상품에 거래된 금액 </t>
    <phoneticPr fontId="2" type="noConversion"/>
  </si>
  <si>
    <t>최근 1개월 동안 var16 상품에 출금된 금액</t>
    <phoneticPr fontId="2" type="noConversion"/>
  </si>
  <si>
    <t>특정 상품 보유로 추정 (이진 데이터</t>
    <phoneticPr fontId="2" type="noConversion"/>
  </si>
  <si>
    <t>상품 사용량, 지표</t>
  </si>
  <si>
    <t>또 다른 상품 보유 여부</t>
    <phoneticPr fontId="2" type="noConversion"/>
  </si>
  <si>
    <t>주요 상품 보유 여부</t>
    <phoneticPr fontId="2" type="noConversion"/>
  </si>
  <si>
    <t>상품 수량, 사용량</t>
    <phoneticPr fontId="2" type="noConversion"/>
  </si>
  <si>
    <t>상품 보유여부 (희소 변수</t>
    <phoneticPr fontId="2" type="noConversion"/>
  </si>
  <si>
    <t>상품 보유 여부</t>
    <phoneticPr fontId="2" type="noConversion"/>
  </si>
  <si>
    <t>상품 사용량, 지표</t>
    <phoneticPr fontId="2" type="noConversion"/>
  </si>
  <si>
    <t>단기 상품 보유 여부</t>
    <phoneticPr fontId="2" type="noConversion"/>
  </si>
  <si>
    <t>단기 상품 사용량, 지표</t>
    <phoneticPr fontId="2" type="noConversion"/>
  </si>
  <si>
    <t>장기 상품 보유 여부</t>
    <phoneticPr fontId="2" type="noConversion"/>
  </si>
  <si>
    <t>장기 상품 사용량, 지표</t>
    <phoneticPr fontId="2" type="noConversion"/>
  </si>
  <si>
    <t>중기 상품 보유 여부</t>
    <phoneticPr fontId="2" type="noConversion"/>
  </si>
  <si>
    <t>중기 상품 사용량, 지표</t>
    <phoneticPr fontId="2" type="noConversion"/>
  </si>
  <si>
    <t>N</t>
  </si>
  <si>
    <t>상수값 변수</t>
  </si>
  <si>
    <t>상수값 변수</t>
    <phoneticPr fontId="2" type="noConversion"/>
  </si>
  <si>
    <t>y</t>
    <phoneticPr fontId="2" type="noConversion"/>
  </si>
  <si>
    <t>삭제할 피처 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</si>
</sst>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2"/>
      <charset val="129"/>
      <scheme val="minor"/>
    </font>
    <font>
      <b/>
      <sz val="11"/>
      <name val="맑은 고딕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>
      <alignment vertical="center"/>
    </xf>
    <xf numFmtId="0" fontId="0" fillId="0" borderId="0" xfId="0" applyAlignment="1">
      <alignment horizontal="left" vertical="center" indent="1"/>
    </xf>
    <xf numFmtId="0" fontId="0" fillId="3" borderId="0" xfId="0" applyFill="1">
      <alignment vertical="center"/>
    </xf>
    <xf numFmtId="0" fontId="3" fillId="0" borderId="0" xfId="0" applyFont="1">
      <alignment vertical="center"/>
    </xf>
    <xf numFmtId="0" fontId="3" fillId="2" borderId="0" xfId="0" applyFont="1" applyFill="1">
      <alignment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4" fillId="5" borderId="1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4" fillId="5" borderId="2" xfId="0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big20\git\big20-ML-project2-team3\SantanderCS\doc\describe_summary_lkj.xlsx" TargetMode="External"/><Relationship Id="rId1" Type="http://schemas.openxmlformats.org/officeDocument/2006/relationships/externalLinkPath" Target="describe_summary_lkj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scribe_summary"/>
      <sheetName val="LKJ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F6352-07FC-4770-8298-7F515B7BCE73}">
  <dimension ref="A1:F371"/>
  <sheetViews>
    <sheetView tabSelected="1" workbookViewId="0">
      <selection activeCell="F3" sqref="F3"/>
    </sheetView>
  </sheetViews>
  <sheetFormatPr defaultRowHeight="16.5" x14ac:dyDescent="0.3"/>
  <cols>
    <col min="1" max="1" width="29.125" customWidth="1"/>
    <col min="2" max="2" width="15.5" customWidth="1"/>
    <col min="3" max="3" width="52.625" customWidth="1"/>
    <col min="4" max="4" width="13.25" customWidth="1"/>
    <col min="5" max="5" width="48.75" customWidth="1"/>
    <col min="6" max="6" width="16.375" customWidth="1"/>
  </cols>
  <sheetData>
    <row r="1" spans="1:6" x14ac:dyDescent="0.3">
      <c r="A1" t="s">
        <v>371</v>
      </c>
      <c r="B1" s="3" t="s">
        <v>365</v>
      </c>
      <c r="C1" s="1" t="s">
        <v>366</v>
      </c>
      <c r="D1" s="1" t="s">
        <v>368</v>
      </c>
      <c r="E1" s="1" t="s">
        <v>367</v>
      </c>
    </row>
    <row r="2" spans="1:6" x14ac:dyDescent="0.3">
      <c r="A2" t="s">
        <v>0</v>
      </c>
      <c r="B2" s="6" t="s">
        <v>369</v>
      </c>
      <c r="C2" t="s">
        <v>378</v>
      </c>
      <c r="D2" s="1" t="s">
        <v>376</v>
      </c>
      <c r="E2" s="1"/>
      <c r="F2" t="s">
        <v>566</v>
      </c>
    </row>
    <row r="3" spans="1:6" x14ac:dyDescent="0.3">
      <c r="A3" t="s">
        <v>1</v>
      </c>
      <c r="B3" s="6"/>
      <c r="C3" t="s">
        <v>530</v>
      </c>
      <c r="D3" s="1" t="s">
        <v>489</v>
      </c>
      <c r="E3" s="1" t="s">
        <v>531</v>
      </c>
      <c r="F3">
        <f>COUNTIF(D2:D372,"=Y")</f>
        <v>171</v>
      </c>
    </row>
    <row r="4" spans="1:6" x14ac:dyDescent="0.3">
      <c r="A4" t="s">
        <v>2</v>
      </c>
      <c r="B4" s="6"/>
      <c r="C4" t="s">
        <v>532</v>
      </c>
      <c r="D4" s="1" t="s">
        <v>489</v>
      </c>
      <c r="E4" s="1"/>
    </row>
    <row r="5" spans="1:6" x14ac:dyDescent="0.3">
      <c r="A5" t="s">
        <v>3</v>
      </c>
      <c r="B5" s="6"/>
      <c r="C5" t="s">
        <v>533</v>
      </c>
      <c r="D5" s="1" t="s">
        <v>489</v>
      </c>
      <c r="E5" s="1"/>
    </row>
    <row r="6" spans="1:6" x14ac:dyDescent="0.3">
      <c r="A6" t="s">
        <v>4</v>
      </c>
      <c r="B6" s="6"/>
      <c r="C6" t="s">
        <v>534</v>
      </c>
      <c r="D6" s="1" t="s">
        <v>489</v>
      </c>
      <c r="E6" s="1"/>
    </row>
    <row r="7" spans="1:6" x14ac:dyDescent="0.3">
      <c r="A7" t="s">
        <v>5</v>
      </c>
      <c r="B7" s="6"/>
      <c r="C7" t="s">
        <v>535</v>
      </c>
      <c r="D7" s="1" t="s">
        <v>489</v>
      </c>
      <c r="E7" s="1"/>
    </row>
    <row r="8" spans="1:6" x14ac:dyDescent="0.3">
      <c r="A8" t="s">
        <v>6</v>
      </c>
      <c r="B8" s="6"/>
      <c r="C8" t="s">
        <v>534</v>
      </c>
      <c r="D8" s="1" t="s">
        <v>489</v>
      </c>
      <c r="E8" s="1"/>
    </row>
    <row r="9" spans="1:6" x14ac:dyDescent="0.3">
      <c r="A9" t="s">
        <v>7</v>
      </c>
      <c r="B9" s="6"/>
      <c r="C9" t="s">
        <v>535</v>
      </c>
      <c r="D9" s="1" t="s">
        <v>489</v>
      </c>
      <c r="E9" s="1"/>
    </row>
    <row r="10" spans="1:6" x14ac:dyDescent="0.3">
      <c r="A10" t="s">
        <v>8</v>
      </c>
      <c r="B10" s="6"/>
      <c r="C10" t="s">
        <v>536</v>
      </c>
      <c r="D10" s="1" t="s">
        <v>489</v>
      </c>
      <c r="E10" s="1"/>
    </row>
    <row r="11" spans="1:6" x14ac:dyDescent="0.3">
      <c r="A11" t="s">
        <v>9</v>
      </c>
      <c r="B11" s="6"/>
      <c r="C11" t="s">
        <v>537</v>
      </c>
      <c r="D11" s="1" t="s">
        <v>489</v>
      </c>
      <c r="E11" s="1"/>
    </row>
    <row r="12" spans="1:6" x14ac:dyDescent="0.3">
      <c r="A12" t="s">
        <v>10</v>
      </c>
      <c r="B12" s="6"/>
      <c r="C12" t="s">
        <v>538</v>
      </c>
      <c r="D12" s="1" t="s">
        <v>489</v>
      </c>
      <c r="E12" s="1"/>
    </row>
    <row r="13" spans="1:6" x14ac:dyDescent="0.3">
      <c r="A13" t="s">
        <v>11</v>
      </c>
      <c r="B13" s="6"/>
      <c r="C13" t="s">
        <v>539</v>
      </c>
      <c r="D13" s="1" t="s">
        <v>489</v>
      </c>
      <c r="E13" s="1"/>
    </row>
    <row r="14" spans="1:6" x14ac:dyDescent="0.3">
      <c r="A14" t="s">
        <v>12</v>
      </c>
      <c r="B14" s="6"/>
      <c r="C14" t="s">
        <v>540</v>
      </c>
      <c r="D14" s="1" t="s">
        <v>489</v>
      </c>
      <c r="E14" s="1"/>
    </row>
    <row r="15" spans="1:6" x14ac:dyDescent="0.3">
      <c r="A15" t="s">
        <v>13</v>
      </c>
      <c r="B15" s="6"/>
      <c r="C15" t="s">
        <v>541</v>
      </c>
      <c r="D15" s="1" t="s">
        <v>489</v>
      </c>
      <c r="E15" s="1"/>
    </row>
    <row r="16" spans="1:6" x14ac:dyDescent="0.3">
      <c r="A16" t="s">
        <v>14</v>
      </c>
      <c r="B16" s="6"/>
      <c r="C16" t="s">
        <v>542</v>
      </c>
      <c r="D16" s="1" t="s">
        <v>489</v>
      </c>
      <c r="E16" s="1"/>
    </row>
    <row r="17" spans="1:5" x14ac:dyDescent="0.3">
      <c r="A17" t="s">
        <v>15</v>
      </c>
      <c r="B17" s="6"/>
      <c r="C17" t="s">
        <v>543</v>
      </c>
      <c r="D17" s="1" t="s">
        <v>489</v>
      </c>
      <c r="E17" s="1"/>
    </row>
    <row r="18" spans="1:5" x14ac:dyDescent="0.3">
      <c r="A18" t="s">
        <v>16</v>
      </c>
      <c r="B18" s="6"/>
      <c r="C18" t="s">
        <v>544</v>
      </c>
      <c r="D18" s="1" t="s">
        <v>489</v>
      </c>
      <c r="E18" s="1"/>
    </row>
    <row r="19" spans="1:5" x14ac:dyDescent="0.3">
      <c r="A19" t="s">
        <v>17</v>
      </c>
      <c r="B19" s="6"/>
      <c r="C19" t="s">
        <v>545</v>
      </c>
      <c r="D19" s="1" t="s">
        <v>489</v>
      </c>
      <c r="E19" s="1"/>
    </row>
    <row r="20" spans="1:5" x14ac:dyDescent="0.3">
      <c r="A20" t="s">
        <v>18</v>
      </c>
      <c r="B20" s="6"/>
      <c r="C20" t="s">
        <v>546</v>
      </c>
      <c r="D20" s="1" t="s">
        <v>489</v>
      </c>
      <c r="E20" s="1"/>
    </row>
    <row r="21" spans="1:5" x14ac:dyDescent="0.3">
      <c r="A21" t="s">
        <v>19</v>
      </c>
      <c r="B21" s="6"/>
      <c r="C21" t="s">
        <v>547</v>
      </c>
      <c r="D21" s="1" t="s">
        <v>489</v>
      </c>
      <c r="E21" s="1"/>
    </row>
    <row r="22" spans="1:5" x14ac:dyDescent="0.3">
      <c r="A22" t="s">
        <v>20</v>
      </c>
      <c r="B22" s="6"/>
      <c r="C22" t="s">
        <v>548</v>
      </c>
      <c r="D22" s="1" t="s">
        <v>489</v>
      </c>
      <c r="E22" s="1"/>
    </row>
    <row r="23" spans="1:5" x14ac:dyDescent="0.3">
      <c r="A23" t="s">
        <v>21</v>
      </c>
      <c r="B23" s="6"/>
      <c r="C23" t="s">
        <v>549</v>
      </c>
      <c r="D23" s="1" t="s">
        <v>489</v>
      </c>
      <c r="E23" s="1"/>
    </row>
    <row r="24" spans="1:5" x14ac:dyDescent="0.3">
      <c r="A24" t="s">
        <v>22</v>
      </c>
      <c r="B24" s="6"/>
      <c r="C24" t="s">
        <v>550</v>
      </c>
      <c r="D24" s="1" t="s">
        <v>376</v>
      </c>
      <c r="E24" s="1"/>
    </row>
    <row r="25" spans="1:5" x14ac:dyDescent="0.3">
      <c r="A25" t="s">
        <v>23</v>
      </c>
      <c r="B25" s="6"/>
      <c r="C25" t="s">
        <v>549</v>
      </c>
      <c r="D25" s="1" t="s">
        <v>376</v>
      </c>
      <c r="E25" s="1"/>
    </row>
    <row r="26" spans="1:5" x14ac:dyDescent="0.3">
      <c r="A26" t="s">
        <v>24</v>
      </c>
      <c r="B26" s="6"/>
      <c r="C26" t="s">
        <v>551</v>
      </c>
      <c r="D26" s="1" t="s">
        <v>489</v>
      </c>
      <c r="E26" s="1"/>
    </row>
    <row r="27" spans="1:5" x14ac:dyDescent="0.3">
      <c r="A27" t="s">
        <v>25</v>
      </c>
      <c r="B27" s="6"/>
      <c r="C27" t="s">
        <v>552</v>
      </c>
      <c r="D27" s="1" t="s">
        <v>489</v>
      </c>
      <c r="E27" s="1"/>
    </row>
    <row r="28" spans="1:5" x14ac:dyDescent="0.3">
      <c r="A28" t="s">
        <v>26</v>
      </c>
      <c r="B28" s="6"/>
      <c r="C28" t="s">
        <v>553</v>
      </c>
      <c r="D28" s="1" t="s">
        <v>489</v>
      </c>
      <c r="E28" s="1"/>
    </row>
    <row r="29" spans="1:5" x14ac:dyDescent="0.3">
      <c r="A29" t="s">
        <v>27</v>
      </c>
      <c r="B29" s="6"/>
      <c r="C29" t="s">
        <v>549</v>
      </c>
      <c r="D29" s="1" t="s">
        <v>489</v>
      </c>
      <c r="E29" s="1"/>
    </row>
    <row r="30" spans="1:5" x14ac:dyDescent="0.3">
      <c r="A30" t="s">
        <v>28</v>
      </c>
      <c r="B30" s="6"/>
      <c r="C30" t="s">
        <v>554</v>
      </c>
      <c r="D30" s="1" t="s">
        <v>489</v>
      </c>
      <c r="E30" s="1"/>
    </row>
    <row r="31" spans="1:5" x14ac:dyDescent="0.3">
      <c r="A31" t="s">
        <v>29</v>
      </c>
      <c r="B31" s="6"/>
      <c r="C31" t="s">
        <v>555</v>
      </c>
      <c r="D31" s="1" t="s">
        <v>489</v>
      </c>
      <c r="E31" s="1"/>
    </row>
    <row r="32" spans="1:5" x14ac:dyDescent="0.3">
      <c r="A32" t="s">
        <v>30</v>
      </c>
      <c r="B32" s="6"/>
      <c r="C32" t="s">
        <v>554</v>
      </c>
      <c r="D32" s="1" t="s">
        <v>489</v>
      </c>
      <c r="E32" s="1"/>
    </row>
    <row r="33" spans="1:5" x14ac:dyDescent="0.3">
      <c r="A33" t="s">
        <v>31</v>
      </c>
      <c r="B33" s="6"/>
      <c r="C33" t="s">
        <v>549</v>
      </c>
      <c r="D33" s="1" t="s">
        <v>489</v>
      </c>
      <c r="E33" s="1"/>
    </row>
    <row r="34" spans="1:5" x14ac:dyDescent="0.3">
      <c r="A34" t="s">
        <v>32</v>
      </c>
      <c r="B34" s="6"/>
      <c r="C34" t="s">
        <v>554</v>
      </c>
      <c r="D34" s="1" t="s">
        <v>489</v>
      </c>
      <c r="E34" s="1"/>
    </row>
    <row r="35" spans="1:5" x14ac:dyDescent="0.3">
      <c r="A35" t="s">
        <v>33</v>
      </c>
      <c r="B35" s="6"/>
      <c r="C35" t="s">
        <v>556</v>
      </c>
      <c r="D35" s="1" t="s">
        <v>489</v>
      </c>
      <c r="E35" s="1"/>
    </row>
    <row r="36" spans="1:5" x14ac:dyDescent="0.3">
      <c r="A36" t="s">
        <v>34</v>
      </c>
      <c r="B36" s="6"/>
      <c r="C36" t="s">
        <v>557</v>
      </c>
      <c r="D36" s="1" t="s">
        <v>489</v>
      </c>
      <c r="E36" s="1"/>
    </row>
    <row r="37" spans="1:5" x14ac:dyDescent="0.3">
      <c r="A37" t="s">
        <v>35</v>
      </c>
      <c r="B37" s="6"/>
      <c r="C37" t="s">
        <v>558</v>
      </c>
      <c r="D37" s="1" t="s">
        <v>489</v>
      </c>
      <c r="E37" s="1"/>
    </row>
    <row r="38" spans="1:5" x14ac:dyDescent="0.3">
      <c r="A38" t="s">
        <v>36</v>
      </c>
      <c r="B38" s="6"/>
      <c r="C38" t="s">
        <v>559</v>
      </c>
      <c r="D38" s="1" t="s">
        <v>489</v>
      </c>
      <c r="E38" s="1"/>
    </row>
    <row r="39" spans="1:5" x14ac:dyDescent="0.3">
      <c r="A39" t="s">
        <v>37</v>
      </c>
      <c r="B39" s="6"/>
      <c r="C39" t="s">
        <v>560</v>
      </c>
      <c r="D39" s="1" t="s">
        <v>489</v>
      </c>
      <c r="E39" s="1"/>
    </row>
    <row r="40" spans="1:5" x14ac:dyDescent="0.3">
      <c r="A40" t="s">
        <v>38</v>
      </c>
      <c r="B40" s="6"/>
      <c r="C40" t="s">
        <v>561</v>
      </c>
      <c r="D40" s="1" t="s">
        <v>489</v>
      </c>
      <c r="E40" s="1"/>
    </row>
    <row r="41" spans="1:5" x14ac:dyDescent="0.3">
      <c r="A41" t="s">
        <v>39</v>
      </c>
      <c r="B41" s="6"/>
      <c r="C41" t="s">
        <v>549</v>
      </c>
      <c r="D41" s="1" t="s">
        <v>489</v>
      </c>
      <c r="E41" s="1"/>
    </row>
    <row r="42" spans="1:5" x14ac:dyDescent="0.3">
      <c r="A42" t="s">
        <v>40</v>
      </c>
      <c r="B42" s="6"/>
      <c r="C42" t="s">
        <v>554</v>
      </c>
      <c r="D42" s="1" t="s">
        <v>489</v>
      </c>
      <c r="E42" s="1"/>
    </row>
    <row r="43" spans="1:5" x14ac:dyDescent="0.3">
      <c r="A43" t="s">
        <v>41</v>
      </c>
      <c r="B43" s="6"/>
      <c r="C43" t="s">
        <v>549</v>
      </c>
      <c r="D43" s="1" t="s">
        <v>489</v>
      </c>
      <c r="E43" s="1"/>
    </row>
    <row r="44" spans="1:5" x14ac:dyDescent="0.3">
      <c r="A44" t="s">
        <v>42</v>
      </c>
      <c r="B44" s="6"/>
      <c r="C44" t="s">
        <v>554</v>
      </c>
      <c r="D44" s="1" t="s">
        <v>489</v>
      </c>
      <c r="E44" s="1"/>
    </row>
    <row r="45" spans="1:5" x14ac:dyDescent="0.3">
      <c r="A45" t="s">
        <v>43</v>
      </c>
      <c r="B45" s="6"/>
      <c r="C45" t="s">
        <v>549</v>
      </c>
      <c r="D45" s="1" t="s">
        <v>489</v>
      </c>
      <c r="E45" s="1"/>
    </row>
    <row r="46" spans="1:5" x14ac:dyDescent="0.3">
      <c r="A46" t="s">
        <v>44</v>
      </c>
      <c r="B46" s="6"/>
      <c r="C46" t="s">
        <v>554</v>
      </c>
      <c r="D46" s="1" t="s">
        <v>489</v>
      </c>
      <c r="E46" s="1"/>
    </row>
    <row r="47" spans="1:5" x14ac:dyDescent="0.3">
      <c r="A47" t="s">
        <v>45</v>
      </c>
      <c r="B47" s="6"/>
      <c r="C47" t="s">
        <v>549</v>
      </c>
      <c r="D47" s="1" t="s">
        <v>489</v>
      </c>
      <c r="E47" s="1"/>
    </row>
    <row r="48" spans="1:5" x14ac:dyDescent="0.3">
      <c r="A48" t="s">
        <v>46</v>
      </c>
      <c r="B48" s="6"/>
      <c r="C48" t="s">
        <v>549</v>
      </c>
      <c r="D48" s="1" t="s">
        <v>489</v>
      </c>
      <c r="E48" s="1"/>
    </row>
    <row r="49" spans="1:5" x14ac:dyDescent="0.3">
      <c r="A49" t="s">
        <v>47</v>
      </c>
      <c r="B49" s="6"/>
      <c r="C49" t="s">
        <v>554</v>
      </c>
      <c r="D49" s="1" t="s">
        <v>489</v>
      </c>
      <c r="E49" s="1"/>
    </row>
    <row r="50" spans="1:5" x14ac:dyDescent="0.3">
      <c r="A50" t="s">
        <v>48</v>
      </c>
      <c r="B50" s="6"/>
      <c r="C50" t="s">
        <v>549</v>
      </c>
      <c r="D50" s="1" t="s">
        <v>489</v>
      </c>
      <c r="E50" s="1"/>
    </row>
    <row r="51" spans="1:5" x14ac:dyDescent="0.3">
      <c r="A51" t="s">
        <v>49</v>
      </c>
      <c r="B51" s="6"/>
      <c r="C51" t="s">
        <v>554</v>
      </c>
      <c r="D51" s="1" t="s">
        <v>562</v>
      </c>
      <c r="E51" s="1"/>
    </row>
    <row r="52" spans="1:5" x14ac:dyDescent="0.3">
      <c r="A52" t="s">
        <v>50</v>
      </c>
      <c r="B52" s="6"/>
      <c r="C52" t="s">
        <v>549</v>
      </c>
      <c r="D52" s="1" t="s">
        <v>489</v>
      </c>
      <c r="E52" s="1"/>
    </row>
    <row r="53" spans="1:5" x14ac:dyDescent="0.3">
      <c r="A53" t="s">
        <v>51</v>
      </c>
      <c r="B53" s="6"/>
      <c r="C53" t="s">
        <v>563</v>
      </c>
      <c r="D53" s="1" t="s">
        <v>376</v>
      </c>
      <c r="E53" s="1"/>
    </row>
    <row r="54" spans="1:5" x14ac:dyDescent="0.3">
      <c r="A54" t="s">
        <v>52</v>
      </c>
      <c r="B54" s="6"/>
      <c r="C54" t="s">
        <v>554</v>
      </c>
      <c r="D54" s="1" t="s">
        <v>489</v>
      </c>
      <c r="E54" s="1"/>
    </row>
    <row r="55" spans="1:5" x14ac:dyDescent="0.3">
      <c r="A55" t="s">
        <v>53</v>
      </c>
      <c r="B55" s="6"/>
      <c r="C55" t="s">
        <v>564</v>
      </c>
      <c r="D55" s="1" t="s">
        <v>380</v>
      </c>
      <c r="E55" s="1"/>
    </row>
    <row r="56" spans="1:5" x14ac:dyDescent="0.3">
      <c r="A56" t="s">
        <v>54</v>
      </c>
      <c r="B56" s="6"/>
      <c r="C56" t="s">
        <v>549</v>
      </c>
      <c r="D56" s="1" t="s">
        <v>562</v>
      </c>
      <c r="E56" s="1"/>
    </row>
    <row r="57" spans="1:5" x14ac:dyDescent="0.3">
      <c r="A57" t="s">
        <v>55</v>
      </c>
      <c r="B57" s="6"/>
      <c r="C57" t="s">
        <v>554</v>
      </c>
      <c r="D57" s="1" t="s">
        <v>562</v>
      </c>
      <c r="E57" s="1"/>
    </row>
    <row r="58" spans="1:5" x14ac:dyDescent="0.3">
      <c r="A58" t="s">
        <v>56</v>
      </c>
      <c r="B58" s="6"/>
      <c r="C58" t="s">
        <v>549</v>
      </c>
      <c r="D58" s="1" t="s">
        <v>562</v>
      </c>
      <c r="E58" s="1"/>
    </row>
    <row r="59" spans="1:5" x14ac:dyDescent="0.3">
      <c r="A59" t="s">
        <v>57</v>
      </c>
      <c r="B59" s="6"/>
      <c r="C59" t="s">
        <v>554</v>
      </c>
      <c r="D59" s="1" t="s">
        <v>376</v>
      </c>
      <c r="E59" s="1"/>
    </row>
    <row r="60" spans="1:5" x14ac:dyDescent="0.3">
      <c r="A60" t="s">
        <v>58</v>
      </c>
      <c r="B60" s="6"/>
      <c r="C60" t="s">
        <v>554</v>
      </c>
      <c r="D60" s="1" t="s">
        <v>376</v>
      </c>
      <c r="E60" s="1"/>
    </row>
    <row r="61" spans="1:5" x14ac:dyDescent="0.3">
      <c r="A61" t="s">
        <v>59</v>
      </c>
      <c r="B61" s="6"/>
      <c r="C61" t="s">
        <v>549</v>
      </c>
      <c r="D61" s="1" t="s">
        <v>376</v>
      </c>
      <c r="E61" s="1"/>
    </row>
    <row r="62" spans="1:5" x14ac:dyDescent="0.3">
      <c r="A62" t="s">
        <v>60</v>
      </c>
      <c r="B62" s="6"/>
      <c r="C62" t="s">
        <v>549</v>
      </c>
      <c r="D62" s="1" t="s">
        <v>376</v>
      </c>
      <c r="E62" s="1"/>
    </row>
    <row r="63" spans="1:5" x14ac:dyDescent="0.3">
      <c r="A63" t="s">
        <v>61</v>
      </c>
      <c r="B63" s="6"/>
      <c r="C63" t="s">
        <v>554</v>
      </c>
      <c r="D63" s="1" t="s">
        <v>562</v>
      </c>
      <c r="E63" s="1"/>
    </row>
    <row r="64" spans="1:5" x14ac:dyDescent="0.3">
      <c r="A64" t="s">
        <v>62</v>
      </c>
      <c r="B64" s="6"/>
      <c r="C64" t="s">
        <v>549</v>
      </c>
      <c r="D64" s="1" t="s">
        <v>562</v>
      </c>
      <c r="E64" s="1"/>
    </row>
    <row r="65" spans="1:5" x14ac:dyDescent="0.3">
      <c r="A65" t="s">
        <v>63</v>
      </c>
      <c r="B65" s="6"/>
      <c r="C65" t="s">
        <v>554</v>
      </c>
      <c r="D65" s="1" t="s">
        <v>562</v>
      </c>
      <c r="E65" s="1"/>
    </row>
    <row r="66" spans="1:5" x14ac:dyDescent="0.3">
      <c r="A66" t="s">
        <v>64</v>
      </c>
      <c r="B66" s="6"/>
      <c r="C66" t="s">
        <v>549</v>
      </c>
      <c r="D66" s="1" t="s">
        <v>562</v>
      </c>
      <c r="E66" s="1"/>
    </row>
    <row r="67" spans="1:5" x14ac:dyDescent="0.3">
      <c r="A67" t="s">
        <v>65</v>
      </c>
      <c r="B67" s="6"/>
      <c r="C67" t="s">
        <v>554</v>
      </c>
      <c r="D67" s="1" t="s">
        <v>562</v>
      </c>
      <c r="E67" s="1"/>
    </row>
    <row r="68" spans="1:5" x14ac:dyDescent="0.3">
      <c r="A68" t="s">
        <v>66</v>
      </c>
      <c r="B68" s="6"/>
      <c r="C68" t="s">
        <v>549</v>
      </c>
      <c r="D68" s="1" t="s">
        <v>562</v>
      </c>
      <c r="E68" s="1"/>
    </row>
    <row r="69" spans="1:5" x14ac:dyDescent="0.3">
      <c r="A69" t="s">
        <v>67</v>
      </c>
      <c r="B69" s="6"/>
      <c r="C69" t="s">
        <v>563</v>
      </c>
      <c r="D69" s="1" t="s">
        <v>565</v>
      </c>
      <c r="E69" s="1"/>
    </row>
    <row r="70" spans="1:5" x14ac:dyDescent="0.3">
      <c r="A70" t="s">
        <v>68</v>
      </c>
      <c r="B70" s="6"/>
      <c r="C70" t="s">
        <v>554</v>
      </c>
      <c r="D70" s="1" t="s">
        <v>562</v>
      </c>
      <c r="E70" s="1"/>
    </row>
    <row r="71" spans="1:5" x14ac:dyDescent="0.3">
      <c r="A71" t="s">
        <v>69</v>
      </c>
      <c r="B71" s="6"/>
      <c r="C71" t="s">
        <v>549</v>
      </c>
      <c r="D71" s="1" t="s">
        <v>562</v>
      </c>
      <c r="E71" s="1"/>
    </row>
    <row r="72" spans="1:5" x14ac:dyDescent="0.3">
      <c r="A72" t="s">
        <v>70</v>
      </c>
      <c r="B72" s="6"/>
      <c r="C72" t="s">
        <v>554</v>
      </c>
      <c r="D72" s="1" t="s">
        <v>562</v>
      </c>
      <c r="E72" s="1"/>
    </row>
    <row r="73" spans="1:5" x14ac:dyDescent="0.3">
      <c r="A73" t="s">
        <v>71</v>
      </c>
      <c r="B73" s="6"/>
      <c r="C73" t="s">
        <v>549</v>
      </c>
      <c r="D73" s="1" t="s">
        <v>562</v>
      </c>
      <c r="E73" s="1"/>
    </row>
    <row r="74" spans="1:5" x14ac:dyDescent="0.3">
      <c r="A74" t="s">
        <v>373</v>
      </c>
      <c r="B74" s="6"/>
      <c r="C74" t="s">
        <v>554</v>
      </c>
      <c r="D74" s="1" t="s">
        <v>562</v>
      </c>
      <c r="E74" s="1"/>
    </row>
    <row r="75" spans="1:5" x14ac:dyDescent="0.3">
      <c r="A75" t="s">
        <v>72</v>
      </c>
      <c r="B75" s="6"/>
      <c r="C75" t="s">
        <v>549</v>
      </c>
      <c r="D75" s="1" t="s">
        <v>562</v>
      </c>
      <c r="E75" s="1"/>
    </row>
    <row r="76" spans="1:5" x14ac:dyDescent="0.3">
      <c r="A76" s="16" t="s">
        <v>73</v>
      </c>
      <c r="B76" s="6" t="s">
        <v>370</v>
      </c>
      <c r="D76" s="13"/>
    </row>
    <row r="77" spans="1:5" x14ac:dyDescent="0.3">
      <c r="A77" s="16" t="s">
        <v>74</v>
      </c>
      <c r="B77" s="6"/>
      <c r="D77" s="13"/>
    </row>
    <row r="78" spans="1:5" x14ac:dyDescent="0.3">
      <c r="A78" s="16" t="s">
        <v>75</v>
      </c>
      <c r="B78" s="6"/>
      <c r="D78" s="13"/>
    </row>
    <row r="79" spans="1:5" x14ac:dyDescent="0.3">
      <c r="A79" s="16" t="s">
        <v>76</v>
      </c>
      <c r="B79" s="6"/>
      <c r="D79" s="13"/>
    </row>
    <row r="80" spans="1:5" x14ac:dyDescent="0.3">
      <c r="A80" s="16" t="s">
        <v>77</v>
      </c>
      <c r="B80" s="6"/>
      <c r="D80" s="13" t="s">
        <v>376</v>
      </c>
    </row>
    <row r="81" spans="1:4" x14ac:dyDescent="0.3">
      <c r="A81" s="16" t="s">
        <v>78</v>
      </c>
      <c r="B81" s="6"/>
      <c r="D81" s="13" t="s">
        <v>376</v>
      </c>
    </row>
    <row r="82" spans="1:4" x14ac:dyDescent="0.3">
      <c r="A82" s="16" t="s">
        <v>79</v>
      </c>
      <c r="B82" s="6"/>
      <c r="D82" s="13"/>
    </row>
    <row r="83" spans="1:4" x14ac:dyDescent="0.3">
      <c r="A83" s="17" t="s">
        <v>80</v>
      </c>
      <c r="B83" s="6"/>
      <c r="D83" s="14" t="s">
        <v>376</v>
      </c>
    </row>
    <row r="84" spans="1:4" x14ac:dyDescent="0.3">
      <c r="A84" s="16" t="s">
        <v>81</v>
      </c>
      <c r="B84" s="6"/>
      <c r="D84" s="13" t="s">
        <v>376</v>
      </c>
    </row>
    <row r="85" spans="1:4" x14ac:dyDescent="0.3">
      <c r="A85" s="16" t="s">
        <v>82</v>
      </c>
      <c r="B85" s="6"/>
      <c r="D85" s="13" t="s">
        <v>376</v>
      </c>
    </row>
    <row r="86" spans="1:4" x14ac:dyDescent="0.3">
      <c r="A86" s="16" t="s">
        <v>83</v>
      </c>
      <c r="B86" s="6"/>
      <c r="D86" s="13" t="s">
        <v>376</v>
      </c>
    </row>
    <row r="87" spans="1:4" x14ac:dyDescent="0.3">
      <c r="A87" s="18" t="s">
        <v>84</v>
      </c>
      <c r="B87" s="6"/>
      <c r="D87" s="14" t="s">
        <v>376</v>
      </c>
    </row>
    <row r="88" spans="1:4" x14ac:dyDescent="0.3">
      <c r="A88" s="18" t="s">
        <v>85</v>
      </c>
      <c r="B88" s="6"/>
      <c r="D88" s="14" t="s">
        <v>376</v>
      </c>
    </row>
    <row r="89" spans="1:4" x14ac:dyDescent="0.3">
      <c r="A89" s="16" t="s">
        <v>86</v>
      </c>
      <c r="B89" s="6"/>
      <c r="D89" s="13" t="s">
        <v>376</v>
      </c>
    </row>
    <row r="90" spans="1:4" x14ac:dyDescent="0.3">
      <c r="A90" s="16" t="s">
        <v>87</v>
      </c>
      <c r="B90" s="6"/>
      <c r="D90" s="13" t="s">
        <v>376</v>
      </c>
    </row>
    <row r="91" spans="1:4" x14ac:dyDescent="0.3">
      <c r="A91" s="16" t="s">
        <v>88</v>
      </c>
      <c r="B91" s="6"/>
      <c r="D91" s="13"/>
    </row>
    <row r="92" spans="1:4" x14ac:dyDescent="0.3">
      <c r="A92" s="16" t="s">
        <v>89</v>
      </c>
      <c r="B92" s="6"/>
      <c r="D92" s="13"/>
    </row>
    <row r="93" spans="1:4" x14ac:dyDescent="0.3">
      <c r="A93" s="16" t="s">
        <v>90</v>
      </c>
      <c r="B93" s="6"/>
      <c r="D93" s="13"/>
    </row>
    <row r="94" spans="1:4" x14ac:dyDescent="0.3">
      <c r="A94" s="16" t="s">
        <v>91</v>
      </c>
      <c r="B94" s="6"/>
      <c r="D94" s="13" t="s">
        <v>376</v>
      </c>
    </row>
    <row r="95" spans="1:4" x14ac:dyDescent="0.3">
      <c r="A95" s="16" t="s">
        <v>92</v>
      </c>
      <c r="B95" s="6"/>
      <c r="D95" s="13" t="s">
        <v>376</v>
      </c>
    </row>
    <row r="96" spans="1:4" x14ac:dyDescent="0.3">
      <c r="A96" s="16" t="s">
        <v>93</v>
      </c>
      <c r="B96" s="6"/>
      <c r="D96" s="13" t="s">
        <v>376</v>
      </c>
    </row>
    <row r="97" spans="1:4" x14ac:dyDescent="0.3">
      <c r="A97" s="16" t="s">
        <v>94</v>
      </c>
      <c r="B97" s="6"/>
      <c r="D97" s="13" t="s">
        <v>376</v>
      </c>
    </row>
    <row r="98" spans="1:4" x14ac:dyDescent="0.3">
      <c r="A98" s="16" t="s">
        <v>95</v>
      </c>
      <c r="B98" s="6"/>
      <c r="D98" s="13"/>
    </row>
    <row r="99" spans="1:4" x14ac:dyDescent="0.3">
      <c r="A99" s="16" t="s">
        <v>96</v>
      </c>
      <c r="B99" s="6"/>
      <c r="D99" s="13" t="s">
        <v>376</v>
      </c>
    </row>
    <row r="100" spans="1:4" x14ac:dyDescent="0.3">
      <c r="A100" s="16" t="s">
        <v>97</v>
      </c>
      <c r="B100" s="6"/>
      <c r="D100" s="13"/>
    </row>
    <row r="101" spans="1:4" x14ac:dyDescent="0.3">
      <c r="A101" s="16" t="s">
        <v>98</v>
      </c>
      <c r="B101" s="6"/>
      <c r="D101" s="13" t="s">
        <v>376</v>
      </c>
    </row>
    <row r="102" spans="1:4" x14ac:dyDescent="0.3">
      <c r="A102" s="16" t="s">
        <v>99</v>
      </c>
      <c r="B102" s="6"/>
      <c r="D102" s="13" t="s">
        <v>376</v>
      </c>
    </row>
    <row r="103" spans="1:4" x14ac:dyDescent="0.3">
      <c r="A103" s="16" t="s">
        <v>100</v>
      </c>
      <c r="B103" s="6"/>
      <c r="D103" s="13" t="s">
        <v>376</v>
      </c>
    </row>
    <row r="104" spans="1:4" x14ac:dyDescent="0.3">
      <c r="A104" s="16" t="s">
        <v>101</v>
      </c>
      <c r="B104" s="6"/>
      <c r="D104" s="13" t="s">
        <v>376</v>
      </c>
    </row>
    <row r="105" spans="1:4" x14ac:dyDescent="0.3">
      <c r="A105" s="16" t="s">
        <v>102</v>
      </c>
      <c r="B105" s="6"/>
      <c r="D105" s="13" t="s">
        <v>376</v>
      </c>
    </row>
    <row r="106" spans="1:4" x14ac:dyDescent="0.3">
      <c r="A106" s="16" t="s">
        <v>103</v>
      </c>
      <c r="B106" s="6"/>
      <c r="D106" s="13" t="s">
        <v>376</v>
      </c>
    </row>
    <row r="107" spans="1:4" x14ac:dyDescent="0.3">
      <c r="A107" s="16" t="s">
        <v>104</v>
      </c>
      <c r="B107" s="6"/>
      <c r="D107" s="13"/>
    </row>
    <row r="108" spans="1:4" x14ac:dyDescent="0.3">
      <c r="A108" s="16" t="s">
        <v>105</v>
      </c>
      <c r="B108" s="6"/>
      <c r="D108" s="13" t="s">
        <v>376</v>
      </c>
    </row>
    <row r="109" spans="1:4" x14ac:dyDescent="0.3">
      <c r="A109" s="16" t="s">
        <v>106</v>
      </c>
      <c r="B109" s="6"/>
      <c r="D109" s="13" t="s">
        <v>376</v>
      </c>
    </row>
    <row r="110" spans="1:4" x14ac:dyDescent="0.3">
      <c r="A110" s="16" t="s">
        <v>107</v>
      </c>
      <c r="B110" s="6"/>
      <c r="D110" s="13" t="s">
        <v>376</v>
      </c>
    </row>
    <row r="111" spans="1:4" x14ac:dyDescent="0.3">
      <c r="A111" s="16" t="s">
        <v>108</v>
      </c>
      <c r="B111" s="6"/>
      <c r="D111" s="13" t="s">
        <v>376</v>
      </c>
    </row>
    <row r="112" spans="1:4" x14ac:dyDescent="0.3">
      <c r="A112" s="16" t="s">
        <v>109</v>
      </c>
      <c r="B112" s="6"/>
      <c r="D112" s="13" t="s">
        <v>376</v>
      </c>
    </row>
    <row r="113" spans="1:4" x14ac:dyDescent="0.3">
      <c r="A113" s="16" t="s">
        <v>110</v>
      </c>
      <c r="B113" s="6"/>
      <c r="D113" s="13" t="s">
        <v>376</v>
      </c>
    </row>
    <row r="114" spans="1:4" x14ac:dyDescent="0.3">
      <c r="A114" s="16" t="s">
        <v>111</v>
      </c>
      <c r="B114" s="6"/>
      <c r="D114" s="13" t="s">
        <v>376</v>
      </c>
    </row>
    <row r="115" spans="1:4" x14ac:dyDescent="0.3">
      <c r="A115" s="16" t="s">
        <v>112</v>
      </c>
      <c r="B115" s="6"/>
      <c r="D115" s="13" t="s">
        <v>376</v>
      </c>
    </row>
    <row r="116" spans="1:4" x14ac:dyDescent="0.3">
      <c r="A116" s="16" t="s">
        <v>113</v>
      </c>
      <c r="B116" s="6"/>
      <c r="D116" s="13" t="s">
        <v>376</v>
      </c>
    </row>
    <row r="117" spans="1:4" x14ac:dyDescent="0.3">
      <c r="A117" s="16" t="s">
        <v>114</v>
      </c>
      <c r="B117" s="6"/>
      <c r="D117" s="13" t="s">
        <v>376</v>
      </c>
    </row>
    <row r="118" spans="1:4" x14ac:dyDescent="0.3">
      <c r="A118" s="16" t="s">
        <v>115</v>
      </c>
      <c r="B118" s="6"/>
      <c r="D118" s="13" t="s">
        <v>376</v>
      </c>
    </row>
    <row r="119" spans="1:4" x14ac:dyDescent="0.3">
      <c r="A119" s="16" t="s">
        <v>116</v>
      </c>
      <c r="B119" s="6"/>
      <c r="D119" s="13" t="s">
        <v>376</v>
      </c>
    </row>
    <row r="120" spans="1:4" x14ac:dyDescent="0.3">
      <c r="A120" s="16" t="s">
        <v>117</v>
      </c>
      <c r="B120" s="6"/>
      <c r="D120" s="13" t="s">
        <v>376</v>
      </c>
    </row>
    <row r="121" spans="1:4" x14ac:dyDescent="0.3">
      <c r="A121" s="16" t="s">
        <v>118</v>
      </c>
      <c r="B121" s="6"/>
      <c r="D121" s="13" t="s">
        <v>376</v>
      </c>
    </row>
    <row r="122" spans="1:4" x14ac:dyDescent="0.3">
      <c r="A122" s="16" t="s">
        <v>119</v>
      </c>
      <c r="B122" s="6"/>
      <c r="D122" s="13" t="s">
        <v>376</v>
      </c>
    </row>
    <row r="123" spans="1:4" x14ac:dyDescent="0.3">
      <c r="A123" s="16" t="s">
        <v>120</v>
      </c>
      <c r="B123" s="6"/>
      <c r="D123" s="13" t="s">
        <v>376</v>
      </c>
    </row>
    <row r="124" spans="1:4" x14ac:dyDescent="0.3">
      <c r="A124" s="16" t="s">
        <v>121</v>
      </c>
      <c r="B124" s="6"/>
      <c r="D124" s="13" t="s">
        <v>376</v>
      </c>
    </row>
    <row r="125" spans="1:4" x14ac:dyDescent="0.3">
      <c r="A125" s="16" t="s">
        <v>122</v>
      </c>
      <c r="B125" s="6"/>
      <c r="D125" s="13" t="s">
        <v>376</v>
      </c>
    </row>
    <row r="126" spans="1:4" x14ac:dyDescent="0.3">
      <c r="A126" s="16" t="s">
        <v>123</v>
      </c>
      <c r="B126" s="6"/>
      <c r="D126" s="13"/>
    </row>
    <row r="127" spans="1:4" x14ac:dyDescent="0.3">
      <c r="A127" s="16" t="s">
        <v>124</v>
      </c>
      <c r="B127" s="6"/>
      <c r="D127" s="13" t="s">
        <v>376</v>
      </c>
    </row>
    <row r="128" spans="1:4" x14ac:dyDescent="0.3">
      <c r="A128" s="16" t="s">
        <v>125</v>
      </c>
      <c r="B128" s="6"/>
      <c r="D128" s="13"/>
    </row>
    <row r="129" spans="1:4" x14ac:dyDescent="0.3">
      <c r="A129" s="16" t="s">
        <v>126</v>
      </c>
      <c r="B129" s="6"/>
      <c r="D129" s="13"/>
    </row>
    <row r="130" spans="1:4" x14ac:dyDescent="0.3">
      <c r="A130" s="16" t="s">
        <v>127</v>
      </c>
      <c r="B130" s="6"/>
      <c r="D130" s="13"/>
    </row>
    <row r="131" spans="1:4" x14ac:dyDescent="0.3">
      <c r="A131" s="16" t="s">
        <v>128</v>
      </c>
      <c r="B131" s="6"/>
      <c r="D131" s="13" t="s">
        <v>376</v>
      </c>
    </row>
    <row r="132" spans="1:4" x14ac:dyDescent="0.3">
      <c r="A132" s="16" t="s">
        <v>129</v>
      </c>
      <c r="B132" s="6"/>
      <c r="D132" s="13"/>
    </row>
    <row r="133" spans="1:4" x14ac:dyDescent="0.3">
      <c r="A133" s="16" t="s">
        <v>130</v>
      </c>
      <c r="B133" s="6"/>
      <c r="D133" s="13"/>
    </row>
    <row r="134" spans="1:4" x14ac:dyDescent="0.3">
      <c r="A134" s="18" t="s">
        <v>131</v>
      </c>
      <c r="B134" s="6"/>
      <c r="D134" s="14" t="s">
        <v>376</v>
      </c>
    </row>
    <row r="135" spans="1:4" x14ac:dyDescent="0.3">
      <c r="A135" s="18" t="s">
        <v>132</v>
      </c>
      <c r="B135" s="6"/>
      <c r="D135" s="14" t="s">
        <v>376</v>
      </c>
    </row>
    <row r="136" spans="1:4" x14ac:dyDescent="0.3">
      <c r="A136" s="18" t="s">
        <v>133</v>
      </c>
      <c r="B136" s="6"/>
      <c r="D136" s="14" t="s">
        <v>376</v>
      </c>
    </row>
    <row r="137" spans="1:4" x14ac:dyDescent="0.3">
      <c r="A137" s="18" t="s">
        <v>134</v>
      </c>
      <c r="B137" s="6"/>
      <c r="D137" s="14" t="s">
        <v>376</v>
      </c>
    </row>
    <row r="138" spans="1:4" x14ac:dyDescent="0.3">
      <c r="A138" s="16" t="s">
        <v>135</v>
      </c>
      <c r="B138" s="6"/>
      <c r="D138" s="13" t="s">
        <v>376</v>
      </c>
    </row>
    <row r="139" spans="1:4" x14ac:dyDescent="0.3">
      <c r="A139" s="16" t="s">
        <v>136</v>
      </c>
      <c r="B139" s="6"/>
      <c r="D139" s="13" t="s">
        <v>376</v>
      </c>
    </row>
    <row r="140" spans="1:4" x14ac:dyDescent="0.3">
      <c r="A140" s="16" t="s">
        <v>137</v>
      </c>
      <c r="B140" s="6"/>
      <c r="D140" s="13"/>
    </row>
    <row r="141" spans="1:4" x14ac:dyDescent="0.3">
      <c r="A141" s="16" t="s">
        <v>138</v>
      </c>
      <c r="B141" s="6"/>
      <c r="D141" s="13"/>
    </row>
    <row r="142" spans="1:4" x14ac:dyDescent="0.3">
      <c r="A142" s="16" t="s">
        <v>139</v>
      </c>
      <c r="B142" s="6"/>
      <c r="D142" s="13" t="s">
        <v>376</v>
      </c>
    </row>
    <row r="143" spans="1:4" x14ac:dyDescent="0.3">
      <c r="A143" s="16" t="s">
        <v>140</v>
      </c>
      <c r="B143" s="6"/>
      <c r="D143" s="13" t="s">
        <v>376</v>
      </c>
    </row>
    <row r="144" spans="1:4" x14ac:dyDescent="0.3">
      <c r="A144" s="16" t="s">
        <v>141</v>
      </c>
      <c r="B144" s="6"/>
      <c r="D144" s="13" t="s">
        <v>376</v>
      </c>
    </row>
    <row r="145" spans="1:4" x14ac:dyDescent="0.3">
      <c r="A145" s="16" t="s">
        <v>142</v>
      </c>
      <c r="B145" s="6"/>
      <c r="D145" s="13" t="s">
        <v>376</v>
      </c>
    </row>
    <row r="146" spans="1:4" x14ac:dyDescent="0.3">
      <c r="A146" s="16" t="s">
        <v>143</v>
      </c>
      <c r="B146" s="6"/>
      <c r="D146" s="13" t="s">
        <v>376</v>
      </c>
    </row>
    <row r="147" spans="1:4" x14ac:dyDescent="0.3">
      <c r="A147" s="16" t="s">
        <v>144</v>
      </c>
      <c r="B147" s="6"/>
      <c r="D147" s="13" t="s">
        <v>376</v>
      </c>
    </row>
    <row r="148" spans="1:4" x14ac:dyDescent="0.3">
      <c r="A148" s="16" t="s">
        <v>145</v>
      </c>
      <c r="B148" s="6"/>
      <c r="D148" s="13" t="s">
        <v>376</v>
      </c>
    </row>
    <row r="149" spans="1:4" x14ac:dyDescent="0.3">
      <c r="A149" s="19" t="s">
        <v>146</v>
      </c>
      <c r="B149" s="6"/>
      <c r="D149" s="15" t="s">
        <v>376</v>
      </c>
    </row>
    <row r="150" spans="1:4" x14ac:dyDescent="0.3">
      <c r="A150" t="s">
        <v>147</v>
      </c>
      <c r="B150" s="6" t="s">
        <v>372</v>
      </c>
      <c r="C150" t="s">
        <v>381</v>
      </c>
      <c r="D150" s="1"/>
    </row>
    <row r="151" spans="1:4" x14ac:dyDescent="0.3">
      <c r="A151" t="s">
        <v>148</v>
      </c>
      <c r="B151" s="6"/>
      <c r="C151" t="s">
        <v>382</v>
      </c>
      <c r="D151" s="1" t="s">
        <v>376</v>
      </c>
    </row>
    <row r="152" spans="1:4" x14ac:dyDescent="0.3">
      <c r="A152" t="s">
        <v>149</v>
      </c>
      <c r="B152" s="6"/>
      <c r="C152" t="s">
        <v>382</v>
      </c>
      <c r="D152" s="1" t="s">
        <v>376</v>
      </c>
    </row>
    <row r="153" spans="1:4" x14ac:dyDescent="0.3">
      <c r="A153" t="s">
        <v>150</v>
      </c>
      <c r="B153" s="6"/>
      <c r="C153" t="s">
        <v>382</v>
      </c>
      <c r="D153" s="1" t="s">
        <v>376</v>
      </c>
    </row>
    <row r="154" spans="1:4" x14ac:dyDescent="0.3">
      <c r="A154" t="s">
        <v>151</v>
      </c>
      <c r="B154" s="6"/>
      <c r="C154" t="s">
        <v>382</v>
      </c>
      <c r="D154" s="1"/>
    </row>
    <row r="155" spans="1:4" x14ac:dyDescent="0.3">
      <c r="A155" t="s">
        <v>152</v>
      </c>
      <c r="B155" s="6"/>
      <c r="C155" t="s">
        <v>382</v>
      </c>
      <c r="D155" s="1" t="s">
        <v>376</v>
      </c>
    </row>
    <row r="156" spans="1:4" x14ac:dyDescent="0.3">
      <c r="A156" t="s">
        <v>153</v>
      </c>
      <c r="B156" s="6"/>
      <c r="C156" t="s">
        <v>382</v>
      </c>
      <c r="D156" s="1" t="s">
        <v>376</v>
      </c>
    </row>
    <row r="157" spans="1:4" x14ac:dyDescent="0.3">
      <c r="A157" t="s">
        <v>154</v>
      </c>
      <c r="B157" s="6"/>
      <c r="C157" t="s">
        <v>382</v>
      </c>
      <c r="D157" s="1"/>
    </row>
    <row r="158" spans="1:4" x14ac:dyDescent="0.3">
      <c r="A158" t="s">
        <v>155</v>
      </c>
      <c r="B158" s="6"/>
      <c r="C158" t="s">
        <v>382</v>
      </c>
      <c r="D158" s="7" t="s">
        <v>376</v>
      </c>
    </row>
    <row r="159" spans="1:4" x14ac:dyDescent="0.3">
      <c r="A159" t="s">
        <v>156</v>
      </c>
      <c r="B159" s="6"/>
      <c r="C159" t="s">
        <v>382</v>
      </c>
      <c r="D159" s="1" t="s">
        <v>376</v>
      </c>
    </row>
    <row r="160" spans="1:4" x14ac:dyDescent="0.3">
      <c r="A160" t="s">
        <v>157</v>
      </c>
      <c r="B160" s="6"/>
      <c r="D160" s="1"/>
    </row>
    <row r="161" spans="1:4" x14ac:dyDescent="0.3">
      <c r="A161" t="s">
        <v>158</v>
      </c>
      <c r="B161" s="6"/>
      <c r="D161" s="1"/>
    </row>
    <row r="162" spans="1:4" x14ac:dyDescent="0.3">
      <c r="A162" t="s">
        <v>159</v>
      </c>
      <c r="B162" s="6"/>
      <c r="C162" t="s">
        <v>382</v>
      </c>
      <c r="D162" s="1" t="s">
        <v>376</v>
      </c>
    </row>
    <row r="163" spans="1:4" x14ac:dyDescent="0.3">
      <c r="A163" t="s">
        <v>160</v>
      </c>
      <c r="B163" s="6"/>
      <c r="C163" t="s">
        <v>382</v>
      </c>
      <c r="D163" s="1" t="s">
        <v>376</v>
      </c>
    </row>
    <row r="164" spans="1:4" x14ac:dyDescent="0.3">
      <c r="A164" t="s">
        <v>161</v>
      </c>
      <c r="B164" s="6"/>
      <c r="C164" t="s">
        <v>382</v>
      </c>
      <c r="D164" s="7" t="s">
        <v>376</v>
      </c>
    </row>
    <row r="165" spans="1:4" x14ac:dyDescent="0.3">
      <c r="A165" t="s">
        <v>162</v>
      </c>
      <c r="B165" s="6"/>
      <c r="D165" s="1" t="s">
        <v>376</v>
      </c>
    </row>
    <row r="166" spans="1:4" x14ac:dyDescent="0.3">
      <c r="A166" t="s">
        <v>163</v>
      </c>
      <c r="B166" s="6"/>
      <c r="D166" s="1" t="s">
        <v>376</v>
      </c>
    </row>
    <row r="167" spans="1:4" x14ac:dyDescent="0.3">
      <c r="A167" t="s">
        <v>164</v>
      </c>
      <c r="B167" s="6"/>
      <c r="D167" s="1"/>
    </row>
    <row r="168" spans="1:4" x14ac:dyDescent="0.3">
      <c r="A168" t="s">
        <v>165</v>
      </c>
      <c r="B168" s="6"/>
      <c r="D168" s="1" t="s">
        <v>376</v>
      </c>
    </row>
    <row r="169" spans="1:4" x14ac:dyDescent="0.3">
      <c r="A169" t="s">
        <v>166</v>
      </c>
      <c r="B169" s="6"/>
      <c r="D169" s="1" t="s">
        <v>376</v>
      </c>
    </row>
    <row r="170" spans="1:4" x14ac:dyDescent="0.3">
      <c r="A170" t="s">
        <v>167</v>
      </c>
      <c r="B170" s="6"/>
      <c r="D170" s="1" t="s">
        <v>376</v>
      </c>
    </row>
    <row r="171" spans="1:4" x14ac:dyDescent="0.3">
      <c r="A171" t="s">
        <v>168</v>
      </c>
      <c r="B171" s="6"/>
      <c r="D171" s="1" t="s">
        <v>376</v>
      </c>
    </row>
    <row r="172" spans="1:4" x14ac:dyDescent="0.3">
      <c r="A172" t="s">
        <v>169</v>
      </c>
      <c r="B172" s="6"/>
      <c r="D172" s="1" t="s">
        <v>376</v>
      </c>
    </row>
    <row r="173" spans="1:4" x14ac:dyDescent="0.3">
      <c r="A173" t="s">
        <v>170</v>
      </c>
      <c r="B173" s="6"/>
      <c r="D173" s="1" t="s">
        <v>376</v>
      </c>
    </row>
    <row r="174" spans="1:4" x14ac:dyDescent="0.3">
      <c r="A174" t="s">
        <v>171</v>
      </c>
      <c r="B174" s="6"/>
      <c r="D174" s="1" t="s">
        <v>376</v>
      </c>
    </row>
    <row r="175" spans="1:4" x14ac:dyDescent="0.3">
      <c r="A175" t="s">
        <v>172</v>
      </c>
      <c r="B175" s="6"/>
      <c r="D175" s="1" t="s">
        <v>376</v>
      </c>
    </row>
    <row r="176" spans="1:4" x14ac:dyDescent="0.3">
      <c r="A176" t="s">
        <v>173</v>
      </c>
      <c r="B176" s="6"/>
      <c r="D176" s="1" t="s">
        <v>376</v>
      </c>
    </row>
    <row r="177" spans="1:4" x14ac:dyDescent="0.3">
      <c r="A177" t="s">
        <v>174</v>
      </c>
      <c r="B177" s="6"/>
      <c r="D177" s="1" t="s">
        <v>376</v>
      </c>
    </row>
    <row r="178" spans="1:4" x14ac:dyDescent="0.3">
      <c r="A178" t="s">
        <v>175</v>
      </c>
      <c r="B178" s="6"/>
      <c r="D178" s="1" t="s">
        <v>376</v>
      </c>
    </row>
    <row r="179" spans="1:4" x14ac:dyDescent="0.3">
      <c r="A179" t="s">
        <v>176</v>
      </c>
      <c r="B179" s="6"/>
      <c r="D179" s="1" t="s">
        <v>376</v>
      </c>
    </row>
    <row r="180" spans="1:4" x14ac:dyDescent="0.3">
      <c r="A180" t="s">
        <v>177</v>
      </c>
      <c r="B180" s="6"/>
      <c r="D180" s="1" t="s">
        <v>376</v>
      </c>
    </row>
    <row r="181" spans="1:4" x14ac:dyDescent="0.3">
      <c r="A181" t="s">
        <v>178</v>
      </c>
      <c r="B181" s="6"/>
      <c r="D181" s="1" t="s">
        <v>376</v>
      </c>
    </row>
    <row r="182" spans="1:4" x14ac:dyDescent="0.3">
      <c r="A182" t="s">
        <v>179</v>
      </c>
      <c r="B182" s="6"/>
      <c r="D182" s="1" t="s">
        <v>376</v>
      </c>
    </row>
    <row r="183" spans="1:4" x14ac:dyDescent="0.3">
      <c r="A183" t="s">
        <v>180</v>
      </c>
      <c r="B183" s="6"/>
      <c r="D183" s="1" t="s">
        <v>376</v>
      </c>
    </row>
    <row r="184" spans="1:4" x14ac:dyDescent="0.3">
      <c r="A184" t="s">
        <v>181</v>
      </c>
      <c r="B184" s="6"/>
      <c r="D184" s="1" t="s">
        <v>376</v>
      </c>
    </row>
    <row r="185" spans="1:4" x14ac:dyDescent="0.3">
      <c r="A185" t="s">
        <v>182</v>
      </c>
      <c r="B185" s="6"/>
      <c r="D185" s="1"/>
    </row>
    <row r="186" spans="1:4" x14ac:dyDescent="0.3">
      <c r="A186" t="s">
        <v>183</v>
      </c>
      <c r="B186" s="6"/>
      <c r="D186" s="1" t="s">
        <v>376</v>
      </c>
    </row>
    <row r="187" spans="1:4" x14ac:dyDescent="0.3">
      <c r="A187" t="s">
        <v>184</v>
      </c>
      <c r="B187" s="6"/>
      <c r="D187" s="1" t="s">
        <v>376</v>
      </c>
    </row>
    <row r="188" spans="1:4" x14ac:dyDescent="0.3">
      <c r="A188" t="s">
        <v>185</v>
      </c>
      <c r="B188" s="6"/>
      <c r="D188" s="1" t="s">
        <v>376</v>
      </c>
    </row>
    <row r="189" spans="1:4" x14ac:dyDescent="0.3">
      <c r="A189" t="s">
        <v>186</v>
      </c>
      <c r="B189" s="6"/>
      <c r="D189" s="1" t="s">
        <v>376</v>
      </c>
    </row>
    <row r="190" spans="1:4" x14ac:dyDescent="0.3">
      <c r="A190" t="s">
        <v>187</v>
      </c>
      <c r="B190" s="6"/>
      <c r="D190" s="1" t="s">
        <v>376</v>
      </c>
    </row>
    <row r="191" spans="1:4" x14ac:dyDescent="0.3">
      <c r="A191" t="s">
        <v>188</v>
      </c>
      <c r="B191" s="6"/>
      <c r="D191" s="1" t="s">
        <v>376</v>
      </c>
    </row>
    <row r="192" spans="1:4" x14ac:dyDescent="0.3">
      <c r="A192" t="s">
        <v>189</v>
      </c>
      <c r="B192" s="6"/>
      <c r="D192" s="1" t="s">
        <v>376</v>
      </c>
    </row>
    <row r="193" spans="1:4" x14ac:dyDescent="0.3">
      <c r="A193" t="s">
        <v>190</v>
      </c>
      <c r="B193" s="6"/>
      <c r="D193" s="1"/>
    </row>
    <row r="194" spans="1:4" x14ac:dyDescent="0.3">
      <c r="A194" t="s">
        <v>191</v>
      </c>
      <c r="B194" s="6"/>
      <c r="D194" s="1" t="s">
        <v>376</v>
      </c>
    </row>
    <row r="195" spans="1:4" x14ac:dyDescent="0.3">
      <c r="A195" t="s">
        <v>192</v>
      </c>
      <c r="B195" s="6"/>
      <c r="D195" s="1" t="s">
        <v>376</v>
      </c>
    </row>
    <row r="196" spans="1:4" x14ac:dyDescent="0.3">
      <c r="A196" t="s">
        <v>193</v>
      </c>
      <c r="B196" s="6"/>
      <c r="D196" s="1"/>
    </row>
    <row r="197" spans="1:4" x14ac:dyDescent="0.3">
      <c r="A197" t="s">
        <v>194</v>
      </c>
      <c r="B197" s="6"/>
      <c r="D197" s="1" t="s">
        <v>376</v>
      </c>
    </row>
    <row r="198" spans="1:4" x14ac:dyDescent="0.3">
      <c r="A198" t="s">
        <v>195</v>
      </c>
      <c r="B198" s="6"/>
      <c r="D198" s="1" t="s">
        <v>376</v>
      </c>
    </row>
    <row r="199" spans="1:4" x14ac:dyDescent="0.3">
      <c r="A199" t="s">
        <v>196</v>
      </c>
      <c r="B199" s="6"/>
      <c r="D199" s="1" t="s">
        <v>376</v>
      </c>
    </row>
    <row r="200" spans="1:4" x14ac:dyDescent="0.3">
      <c r="A200" t="s">
        <v>197</v>
      </c>
      <c r="B200" s="6"/>
      <c r="D200" s="1" t="s">
        <v>376</v>
      </c>
    </row>
    <row r="201" spans="1:4" x14ac:dyDescent="0.3">
      <c r="A201" t="s">
        <v>198</v>
      </c>
      <c r="B201" s="6"/>
      <c r="D201" s="1" t="s">
        <v>376</v>
      </c>
    </row>
    <row r="202" spans="1:4" x14ac:dyDescent="0.3">
      <c r="A202" t="s">
        <v>199</v>
      </c>
      <c r="B202" s="6"/>
      <c r="D202" s="1" t="s">
        <v>376</v>
      </c>
    </row>
    <row r="203" spans="1:4" x14ac:dyDescent="0.3">
      <c r="A203" t="s">
        <v>200</v>
      </c>
      <c r="B203" s="6"/>
      <c r="D203" s="1" t="s">
        <v>376</v>
      </c>
    </row>
    <row r="204" spans="1:4" x14ac:dyDescent="0.3">
      <c r="A204" t="s">
        <v>201</v>
      </c>
      <c r="B204" s="6"/>
      <c r="D204" s="1" t="s">
        <v>376</v>
      </c>
    </row>
    <row r="205" spans="1:4" x14ac:dyDescent="0.3">
      <c r="A205" t="s">
        <v>202</v>
      </c>
      <c r="B205" s="6"/>
      <c r="D205" s="1" t="s">
        <v>376</v>
      </c>
    </row>
    <row r="206" spans="1:4" x14ac:dyDescent="0.3">
      <c r="A206" t="s">
        <v>203</v>
      </c>
      <c r="B206" s="6"/>
      <c r="D206" s="1" t="s">
        <v>376</v>
      </c>
    </row>
    <row r="207" spans="1:4" x14ac:dyDescent="0.3">
      <c r="A207" t="s">
        <v>204</v>
      </c>
      <c r="B207" s="6"/>
      <c r="D207" s="1" t="s">
        <v>376</v>
      </c>
    </row>
    <row r="208" spans="1:4" x14ac:dyDescent="0.3">
      <c r="A208" t="s">
        <v>205</v>
      </c>
      <c r="B208" s="6"/>
      <c r="D208" s="1" t="s">
        <v>376</v>
      </c>
    </row>
    <row r="209" spans="1:4" x14ac:dyDescent="0.3">
      <c r="A209" t="s">
        <v>206</v>
      </c>
      <c r="B209" s="6"/>
      <c r="D209" s="1" t="s">
        <v>376</v>
      </c>
    </row>
    <row r="210" spans="1:4" x14ac:dyDescent="0.3">
      <c r="A210" t="s">
        <v>207</v>
      </c>
      <c r="B210" s="6"/>
      <c r="D210" s="1" t="s">
        <v>376</v>
      </c>
    </row>
    <row r="211" spans="1:4" x14ac:dyDescent="0.3">
      <c r="A211" t="s">
        <v>208</v>
      </c>
      <c r="B211" s="6"/>
      <c r="D211" s="1" t="s">
        <v>376</v>
      </c>
    </row>
    <row r="212" spans="1:4" x14ac:dyDescent="0.3">
      <c r="A212" t="s">
        <v>209</v>
      </c>
      <c r="B212" s="6"/>
      <c r="D212" s="1" t="s">
        <v>376</v>
      </c>
    </row>
    <row r="213" spans="1:4" x14ac:dyDescent="0.3">
      <c r="A213" t="s">
        <v>210</v>
      </c>
      <c r="B213" s="6"/>
      <c r="D213" s="1" t="s">
        <v>376</v>
      </c>
    </row>
    <row r="214" spans="1:4" x14ac:dyDescent="0.3">
      <c r="A214" t="s">
        <v>211</v>
      </c>
      <c r="B214" s="6"/>
      <c r="D214" s="1" t="s">
        <v>376</v>
      </c>
    </row>
    <row r="215" spans="1:4" x14ac:dyDescent="0.3">
      <c r="A215" t="s">
        <v>212</v>
      </c>
      <c r="B215" s="6"/>
      <c r="D215" s="1" t="s">
        <v>376</v>
      </c>
    </row>
    <row r="216" spans="1:4" x14ac:dyDescent="0.3">
      <c r="A216" t="s">
        <v>213</v>
      </c>
      <c r="B216" s="6"/>
      <c r="D216" s="1" t="s">
        <v>376</v>
      </c>
    </row>
    <row r="217" spans="1:4" x14ac:dyDescent="0.3">
      <c r="A217" t="s">
        <v>214</v>
      </c>
      <c r="B217" s="6"/>
      <c r="D217" s="1"/>
    </row>
    <row r="218" spans="1:4" x14ac:dyDescent="0.3">
      <c r="A218" t="s">
        <v>215</v>
      </c>
      <c r="B218" s="6"/>
      <c r="D218" s="1"/>
    </row>
    <row r="219" spans="1:4" x14ac:dyDescent="0.3">
      <c r="A219" t="s">
        <v>216</v>
      </c>
      <c r="B219" s="6"/>
      <c r="D219" s="1"/>
    </row>
    <row r="220" spans="1:4" x14ac:dyDescent="0.3">
      <c r="A220" t="s">
        <v>217</v>
      </c>
      <c r="B220" s="6"/>
      <c r="D220" s="1"/>
    </row>
    <row r="221" spans="1:4" x14ac:dyDescent="0.3">
      <c r="A221" t="s">
        <v>218</v>
      </c>
      <c r="B221" s="6"/>
      <c r="D221" s="1"/>
    </row>
    <row r="222" spans="1:4" x14ac:dyDescent="0.3">
      <c r="A222" t="s">
        <v>219</v>
      </c>
      <c r="B222" s="6"/>
      <c r="D222" s="1"/>
    </row>
    <row r="223" spans="1:4" x14ac:dyDescent="0.3">
      <c r="A223" t="s">
        <v>220</v>
      </c>
      <c r="B223" s="6"/>
      <c r="D223" s="1"/>
    </row>
    <row r="224" spans="1:4" x14ac:dyDescent="0.3">
      <c r="A224" t="s">
        <v>451</v>
      </c>
      <c r="B224" s="6" t="s">
        <v>374</v>
      </c>
      <c r="C224" t="s">
        <v>383</v>
      </c>
      <c r="D224" s="1" t="s">
        <v>376</v>
      </c>
    </row>
    <row r="225" spans="1:4" x14ac:dyDescent="0.3">
      <c r="A225" s="10" t="s">
        <v>221</v>
      </c>
      <c r="B225" s="6"/>
      <c r="D225" s="1" t="s">
        <v>376</v>
      </c>
    </row>
    <row r="226" spans="1:4" x14ac:dyDescent="0.3">
      <c r="A226" t="s">
        <v>222</v>
      </c>
      <c r="B226" s="6"/>
      <c r="C226" t="s">
        <v>384</v>
      </c>
      <c r="D226" s="1" t="s">
        <v>376</v>
      </c>
    </row>
    <row r="227" spans="1:4" x14ac:dyDescent="0.3">
      <c r="A227" t="s">
        <v>223</v>
      </c>
      <c r="B227" s="6"/>
      <c r="C227" t="s">
        <v>385</v>
      </c>
      <c r="D227" s="1"/>
    </row>
    <row r="228" spans="1:4" x14ac:dyDescent="0.3">
      <c r="A228" t="s">
        <v>224</v>
      </c>
      <c r="B228" s="6"/>
      <c r="C228" t="s">
        <v>386</v>
      </c>
      <c r="D228" s="1" t="s">
        <v>376</v>
      </c>
    </row>
    <row r="229" spans="1:4" x14ac:dyDescent="0.3">
      <c r="A229" t="s">
        <v>225</v>
      </c>
      <c r="B229" s="6"/>
      <c r="C229" t="s">
        <v>387</v>
      </c>
      <c r="D229" s="1" t="s">
        <v>376</v>
      </c>
    </row>
    <row r="230" spans="1:4" x14ac:dyDescent="0.3">
      <c r="A230" t="s">
        <v>226</v>
      </c>
      <c r="B230" s="6"/>
      <c r="C230" t="s">
        <v>388</v>
      </c>
      <c r="D230" s="1" t="s">
        <v>376</v>
      </c>
    </row>
    <row r="231" spans="1:4" x14ac:dyDescent="0.3">
      <c r="A231" t="s">
        <v>227</v>
      </c>
      <c r="B231" s="6"/>
      <c r="C231" t="s">
        <v>389</v>
      </c>
      <c r="D231" s="1" t="s">
        <v>376</v>
      </c>
    </row>
    <row r="232" spans="1:4" x14ac:dyDescent="0.3">
      <c r="A232" t="s">
        <v>228</v>
      </c>
      <c r="B232" s="6"/>
      <c r="C232" t="s">
        <v>390</v>
      </c>
      <c r="D232" s="1" t="s">
        <v>376</v>
      </c>
    </row>
    <row r="233" spans="1:4" x14ac:dyDescent="0.3">
      <c r="A233" t="s">
        <v>229</v>
      </c>
      <c r="B233" s="6"/>
      <c r="C233" t="s">
        <v>391</v>
      </c>
      <c r="D233" s="1" t="s">
        <v>376</v>
      </c>
    </row>
    <row r="234" spans="1:4" x14ac:dyDescent="0.3">
      <c r="A234" t="s">
        <v>230</v>
      </c>
      <c r="B234" s="6"/>
      <c r="C234" t="s">
        <v>392</v>
      </c>
      <c r="D234" s="1" t="s">
        <v>376</v>
      </c>
    </row>
    <row r="235" spans="1:4" x14ac:dyDescent="0.3">
      <c r="A235" t="s">
        <v>231</v>
      </c>
      <c r="B235" s="6"/>
      <c r="C235" t="s">
        <v>393</v>
      </c>
      <c r="D235" s="1" t="s">
        <v>376</v>
      </c>
    </row>
    <row r="236" spans="1:4" x14ac:dyDescent="0.3">
      <c r="A236" t="s">
        <v>232</v>
      </c>
      <c r="B236" s="6"/>
      <c r="C236" t="s">
        <v>394</v>
      </c>
      <c r="D236" s="1" t="s">
        <v>376</v>
      </c>
    </row>
    <row r="237" spans="1:4" x14ac:dyDescent="0.3">
      <c r="A237" s="10" t="s">
        <v>233</v>
      </c>
      <c r="B237" s="6"/>
      <c r="C237" t="s">
        <v>395</v>
      </c>
      <c r="D237" s="1" t="s">
        <v>376</v>
      </c>
    </row>
    <row r="238" spans="1:4" x14ac:dyDescent="0.3">
      <c r="A238" t="s">
        <v>234</v>
      </c>
      <c r="B238" s="6"/>
      <c r="C238" t="s">
        <v>396</v>
      </c>
      <c r="D238" s="1" t="s">
        <v>376</v>
      </c>
    </row>
    <row r="239" spans="1:4" x14ac:dyDescent="0.3">
      <c r="A239" t="s">
        <v>235</v>
      </c>
      <c r="B239" s="6"/>
      <c r="C239" t="s">
        <v>397</v>
      </c>
      <c r="D239" s="1" t="s">
        <v>376</v>
      </c>
    </row>
    <row r="240" spans="1:4" x14ac:dyDescent="0.3">
      <c r="A240" t="s">
        <v>236</v>
      </c>
      <c r="B240" s="6"/>
      <c r="C240" t="s">
        <v>398</v>
      </c>
      <c r="D240" s="1" t="s">
        <v>376</v>
      </c>
    </row>
    <row r="241" spans="1:4" x14ac:dyDescent="0.3">
      <c r="A241" s="10" t="s">
        <v>237</v>
      </c>
      <c r="B241" s="6"/>
      <c r="C241" t="s">
        <v>395</v>
      </c>
      <c r="D241" s="1" t="s">
        <v>376</v>
      </c>
    </row>
    <row r="242" spans="1:4" x14ac:dyDescent="0.3">
      <c r="A242" t="s">
        <v>238</v>
      </c>
      <c r="B242" s="6"/>
      <c r="C242" t="s">
        <v>399</v>
      </c>
      <c r="D242" s="1" t="s">
        <v>376</v>
      </c>
    </row>
    <row r="243" spans="1:4" x14ac:dyDescent="0.3">
      <c r="A243" t="s">
        <v>452</v>
      </c>
      <c r="B243" s="6"/>
      <c r="C243" t="s">
        <v>400</v>
      </c>
      <c r="D243" s="1"/>
    </row>
    <row r="244" spans="1:4" x14ac:dyDescent="0.3">
      <c r="A244" t="s">
        <v>239</v>
      </c>
      <c r="B244" s="6"/>
      <c r="C244" t="s">
        <v>401</v>
      </c>
      <c r="D244" s="1"/>
    </row>
    <row r="245" spans="1:4" x14ac:dyDescent="0.3">
      <c r="A245" t="s">
        <v>240</v>
      </c>
      <c r="B245" s="6"/>
      <c r="C245" t="s">
        <v>402</v>
      </c>
      <c r="D245" s="1" t="s">
        <v>376</v>
      </c>
    </row>
    <row r="246" spans="1:4" x14ac:dyDescent="0.3">
      <c r="A246" t="s">
        <v>241</v>
      </c>
      <c r="B246" s="6"/>
      <c r="C246" t="s">
        <v>403</v>
      </c>
      <c r="D246" s="1" t="s">
        <v>376</v>
      </c>
    </row>
    <row r="247" spans="1:4" x14ac:dyDescent="0.3">
      <c r="A247" s="10" t="s">
        <v>242</v>
      </c>
      <c r="B247" s="6"/>
      <c r="C247" t="s">
        <v>395</v>
      </c>
      <c r="D247" s="1" t="s">
        <v>376</v>
      </c>
    </row>
    <row r="248" spans="1:4" x14ac:dyDescent="0.3">
      <c r="A248" t="s">
        <v>243</v>
      </c>
      <c r="B248" s="6"/>
      <c r="C248" t="s">
        <v>404</v>
      </c>
      <c r="D248" s="1" t="s">
        <v>376</v>
      </c>
    </row>
    <row r="249" spans="1:4" x14ac:dyDescent="0.3">
      <c r="A249" t="s">
        <v>244</v>
      </c>
      <c r="B249" s="6"/>
      <c r="C249" t="s">
        <v>405</v>
      </c>
      <c r="D249" s="1" t="s">
        <v>376</v>
      </c>
    </row>
    <row r="250" spans="1:4" x14ac:dyDescent="0.3">
      <c r="A250" t="s">
        <v>453</v>
      </c>
      <c r="B250" s="6"/>
      <c r="C250" t="s">
        <v>406</v>
      </c>
      <c r="D250" s="1" t="s">
        <v>376</v>
      </c>
    </row>
    <row r="251" spans="1:4" x14ac:dyDescent="0.3">
      <c r="A251" s="10" t="s">
        <v>454</v>
      </c>
      <c r="B251" s="6"/>
      <c r="C251" t="s">
        <v>395</v>
      </c>
      <c r="D251" s="1" t="s">
        <v>376</v>
      </c>
    </row>
    <row r="252" spans="1:4" x14ac:dyDescent="0.3">
      <c r="A252" t="s">
        <v>245</v>
      </c>
      <c r="B252" s="6"/>
      <c r="C252" t="s">
        <v>407</v>
      </c>
      <c r="D252" s="1" t="s">
        <v>376</v>
      </c>
    </row>
    <row r="253" spans="1:4" x14ac:dyDescent="0.3">
      <c r="A253" t="s">
        <v>246</v>
      </c>
      <c r="B253" s="6"/>
      <c r="C253" t="s">
        <v>408</v>
      </c>
      <c r="D253" s="1" t="s">
        <v>376</v>
      </c>
    </row>
    <row r="254" spans="1:4" x14ac:dyDescent="0.3">
      <c r="A254" t="s">
        <v>247</v>
      </c>
      <c r="B254" s="6"/>
      <c r="C254" s="9" t="s">
        <v>409</v>
      </c>
      <c r="D254" s="1" t="s">
        <v>376</v>
      </c>
    </row>
    <row r="255" spans="1:4" x14ac:dyDescent="0.3">
      <c r="A255" t="s">
        <v>248</v>
      </c>
      <c r="B255" s="6"/>
      <c r="C255" t="s">
        <v>410</v>
      </c>
      <c r="D255" s="1" t="s">
        <v>376</v>
      </c>
    </row>
    <row r="256" spans="1:4" x14ac:dyDescent="0.3">
      <c r="A256" t="s">
        <v>249</v>
      </c>
      <c r="B256" s="6"/>
      <c r="C256" t="s">
        <v>411</v>
      </c>
      <c r="D256" s="1" t="s">
        <v>376</v>
      </c>
    </row>
    <row r="257" spans="1:4" x14ac:dyDescent="0.3">
      <c r="A257" t="s">
        <v>250</v>
      </c>
      <c r="B257" s="6"/>
      <c r="C257" t="s">
        <v>412</v>
      </c>
      <c r="D257" s="1"/>
    </row>
    <row r="258" spans="1:4" x14ac:dyDescent="0.3">
      <c r="A258" t="s">
        <v>251</v>
      </c>
      <c r="B258" s="6"/>
      <c r="C258" t="s">
        <v>413</v>
      </c>
      <c r="D258" s="1"/>
    </row>
    <row r="259" spans="1:4" x14ac:dyDescent="0.3">
      <c r="A259" t="s">
        <v>252</v>
      </c>
      <c r="B259" s="6"/>
      <c r="C259" t="s">
        <v>414</v>
      </c>
      <c r="D259" s="1"/>
    </row>
    <row r="260" spans="1:4" x14ac:dyDescent="0.3">
      <c r="A260" t="s">
        <v>253</v>
      </c>
      <c r="B260" s="6"/>
      <c r="C260" t="s">
        <v>415</v>
      </c>
      <c r="D260" s="1"/>
    </row>
    <row r="261" spans="1:4" x14ac:dyDescent="0.3">
      <c r="A261" t="s">
        <v>254</v>
      </c>
      <c r="B261" s="6"/>
      <c r="C261" t="s">
        <v>416</v>
      </c>
      <c r="D261" s="1"/>
    </row>
    <row r="262" spans="1:4" x14ac:dyDescent="0.3">
      <c r="A262" t="s">
        <v>255</v>
      </c>
      <c r="B262" s="6"/>
      <c r="C262" t="s">
        <v>417</v>
      </c>
      <c r="D262" s="1"/>
    </row>
    <row r="263" spans="1:4" x14ac:dyDescent="0.3">
      <c r="A263" t="s">
        <v>256</v>
      </c>
      <c r="B263" s="6"/>
      <c r="C263" t="s">
        <v>418</v>
      </c>
      <c r="D263" s="1"/>
    </row>
    <row r="264" spans="1:4" x14ac:dyDescent="0.3">
      <c r="A264" s="10" t="s">
        <v>257</v>
      </c>
      <c r="B264" s="6"/>
      <c r="C264" t="s">
        <v>395</v>
      </c>
      <c r="D264" s="1" t="s">
        <v>376</v>
      </c>
    </row>
    <row r="265" spans="1:4" x14ac:dyDescent="0.3">
      <c r="A265" s="10" t="s">
        <v>258</v>
      </c>
      <c r="B265" s="6"/>
      <c r="C265" t="s">
        <v>395</v>
      </c>
      <c r="D265" s="1" t="s">
        <v>376</v>
      </c>
    </row>
    <row r="266" spans="1:4" x14ac:dyDescent="0.3">
      <c r="A266" t="s">
        <v>259</v>
      </c>
      <c r="B266" s="6"/>
      <c r="C266" t="s">
        <v>419</v>
      </c>
      <c r="D266" s="1"/>
    </row>
    <row r="267" spans="1:4" x14ac:dyDescent="0.3">
      <c r="A267" t="s">
        <v>260</v>
      </c>
      <c r="B267" s="6"/>
      <c r="C267" t="s">
        <v>420</v>
      </c>
      <c r="D267" s="1"/>
    </row>
    <row r="268" spans="1:4" x14ac:dyDescent="0.3">
      <c r="A268" t="s">
        <v>261</v>
      </c>
      <c r="B268" s="6"/>
      <c r="C268" t="s">
        <v>421</v>
      </c>
      <c r="D268" s="1" t="s">
        <v>376</v>
      </c>
    </row>
    <row r="269" spans="1:4" x14ac:dyDescent="0.3">
      <c r="A269" t="s">
        <v>262</v>
      </c>
      <c r="B269" s="6"/>
      <c r="C269" t="s">
        <v>422</v>
      </c>
      <c r="D269" s="1" t="s">
        <v>376</v>
      </c>
    </row>
    <row r="270" spans="1:4" x14ac:dyDescent="0.3">
      <c r="A270" t="s">
        <v>263</v>
      </c>
      <c r="B270" s="6"/>
      <c r="C270" t="s">
        <v>423</v>
      </c>
      <c r="D270" s="1" t="s">
        <v>376</v>
      </c>
    </row>
    <row r="271" spans="1:4" x14ac:dyDescent="0.3">
      <c r="A271" t="s">
        <v>264</v>
      </c>
      <c r="B271" s="6"/>
      <c r="C271" t="s">
        <v>424</v>
      </c>
      <c r="D271" s="1" t="s">
        <v>376</v>
      </c>
    </row>
    <row r="272" spans="1:4" x14ac:dyDescent="0.3">
      <c r="A272" t="s">
        <v>265</v>
      </c>
      <c r="B272" s="6"/>
      <c r="C272" t="s">
        <v>425</v>
      </c>
      <c r="D272" s="1" t="s">
        <v>376</v>
      </c>
    </row>
    <row r="273" spans="1:4" x14ac:dyDescent="0.3">
      <c r="A273" t="s">
        <v>266</v>
      </c>
      <c r="B273" s="6"/>
      <c r="C273" t="s">
        <v>426</v>
      </c>
      <c r="D273" s="1" t="s">
        <v>376</v>
      </c>
    </row>
    <row r="274" spans="1:4" x14ac:dyDescent="0.3">
      <c r="A274" t="s">
        <v>267</v>
      </c>
      <c r="B274" s="6"/>
      <c r="C274" t="s">
        <v>427</v>
      </c>
      <c r="D274" s="1" t="s">
        <v>376</v>
      </c>
    </row>
    <row r="275" spans="1:4" x14ac:dyDescent="0.3">
      <c r="A275" t="s">
        <v>268</v>
      </c>
      <c r="B275" s="6"/>
      <c r="C275" t="s">
        <v>428</v>
      </c>
      <c r="D275" s="1" t="s">
        <v>376</v>
      </c>
    </row>
    <row r="276" spans="1:4" x14ac:dyDescent="0.3">
      <c r="A276" t="s">
        <v>269</v>
      </c>
      <c r="B276" s="6"/>
      <c r="C276" t="s">
        <v>429</v>
      </c>
      <c r="D276" s="1"/>
    </row>
    <row r="277" spans="1:4" x14ac:dyDescent="0.3">
      <c r="A277" t="s">
        <v>270</v>
      </c>
      <c r="B277" s="6"/>
      <c r="C277" t="s">
        <v>430</v>
      </c>
      <c r="D277" s="1"/>
    </row>
    <row r="278" spans="1:4" x14ac:dyDescent="0.3">
      <c r="A278" t="s">
        <v>271</v>
      </c>
      <c r="B278" s="6"/>
      <c r="C278" t="s">
        <v>431</v>
      </c>
      <c r="D278" s="1"/>
    </row>
    <row r="279" spans="1:4" x14ac:dyDescent="0.3">
      <c r="A279" t="s">
        <v>272</v>
      </c>
      <c r="B279" s="6"/>
      <c r="C279" t="s">
        <v>432</v>
      </c>
      <c r="D279" s="1"/>
    </row>
    <row r="280" spans="1:4" x14ac:dyDescent="0.3">
      <c r="A280" t="s">
        <v>273</v>
      </c>
      <c r="B280" s="6"/>
      <c r="C280" t="s">
        <v>433</v>
      </c>
      <c r="D280" s="1"/>
    </row>
    <row r="281" spans="1:4" x14ac:dyDescent="0.3">
      <c r="A281" t="s">
        <v>274</v>
      </c>
      <c r="B281" s="6"/>
      <c r="C281" t="s">
        <v>434</v>
      </c>
      <c r="D281" s="1"/>
    </row>
    <row r="282" spans="1:4" x14ac:dyDescent="0.3">
      <c r="A282" t="s">
        <v>275</v>
      </c>
      <c r="B282" s="6"/>
      <c r="C282" t="s">
        <v>435</v>
      </c>
      <c r="D282" s="1"/>
    </row>
    <row r="283" spans="1:4" x14ac:dyDescent="0.3">
      <c r="A283" t="s">
        <v>276</v>
      </c>
      <c r="B283" s="6"/>
      <c r="C283" t="s">
        <v>436</v>
      </c>
      <c r="D283" s="1"/>
    </row>
    <row r="284" spans="1:4" x14ac:dyDescent="0.3">
      <c r="A284" t="s">
        <v>277</v>
      </c>
      <c r="B284" s="6"/>
      <c r="C284" t="s">
        <v>437</v>
      </c>
      <c r="D284" s="1"/>
    </row>
    <row r="285" spans="1:4" x14ac:dyDescent="0.3">
      <c r="A285" t="s">
        <v>278</v>
      </c>
      <c r="B285" s="6"/>
      <c r="C285" t="s">
        <v>438</v>
      </c>
      <c r="D285" s="1"/>
    </row>
    <row r="286" spans="1:4" x14ac:dyDescent="0.3">
      <c r="A286" t="s">
        <v>279</v>
      </c>
      <c r="B286" s="6"/>
      <c r="C286" t="s">
        <v>439</v>
      </c>
      <c r="D286" s="1"/>
    </row>
    <row r="287" spans="1:4" x14ac:dyDescent="0.3">
      <c r="A287" t="s">
        <v>280</v>
      </c>
      <c r="B287" s="6"/>
      <c r="C287" t="s">
        <v>440</v>
      </c>
      <c r="D287" s="1" t="s">
        <v>376</v>
      </c>
    </row>
    <row r="288" spans="1:4" x14ac:dyDescent="0.3">
      <c r="A288" t="s">
        <v>281</v>
      </c>
      <c r="B288" s="6"/>
      <c r="C288" t="s">
        <v>441</v>
      </c>
      <c r="D288" s="1" t="s">
        <v>376</v>
      </c>
    </row>
    <row r="289" spans="1:5" x14ac:dyDescent="0.3">
      <c r="A289" t="s">
        <v>282</v>
      </c>
      <c r="B289" s="6"/>
      <c r="C289" t="s">
        <v>442</v>
      </c>
      <c r="D289" s="1" t="s">
        <v>376</v>
      </c>
    </row>
    <row r="290" spans="1:5" x14ac:dyDescent="0.3">
      <c r="A290" t="s">
        <v>283</v>
      </c>
      <c r="B290" s="6"/>
      <c r="C290" t="s">
        <v>443</v>
      </c>
      <c r="D290" s="1" t="s">
        <v>376</v>
      </c>
    </row>
    <row r="291" spans="1:5" x14ac:dyDescent="0.3">
      <c r="A291" t="s">
        <v>284</v>
      </c>
      <c r="B291" s="6"/>
      <c r="C291" t="s">
        <v>444</v>
      </c>
      <c r="D291" s="1" t="s">
        <v>376</v>
      </c>
    </row>
    <row r="292" spans="1:5" x14ac:dyDescent="0.3">
      <c r="A292" t="s">
        <v>285</v>
      </c>
      <c r="B292" s="6"/>
      <c r="C292" t="s">
        <v>445</v>
      </c>
      <c r="D292" s="1"/>
    </row>
    <row r="293" spans="1:5" x14ac:dyDescent="0.3">
      <c r="A293" t="s">
        <v>286</v>
      </c>
      <c r="B293" s="6"/>
      <c r="C293" t="s">
        <v>446</v>
      </c>
      <c r="D293" s="1" t="s">
        <v>376</v>
      </c>
    </row>
    <row r="294" spans="1:5" x14ac:dyDescent="0.3">
      <c r="A294" t="s">
        <v>287</v>
      </c>
      <c r="B294" s="6"/>
      <c r="C294" t="s">
        <v>447</v>
      </c>
      <c r="D294" s="1"/>
    </row>
    <row r="295" spans="1:5" x14ac:dyDescent="0.3">
      <c r="A295" t="s">
        <v>288</v>
      </c>
      <c r="B295" s="6"/>
      <c r="C295" t="s">
        <v>448</v>
      </c>
      <c r="D295" s="1"/>
    </row>
    <row r="296" spans="1:5" x14ac:dyDescent="0.3">
      <c r="A296" t="s">
        <v>289</v>
      </c>
      <c r="B296" s="6"/>
      <c r="C296" t="s">
        <v>449</v>
      </c>
      <c r="D296" s="1" t="s">
        <v>376</v>
      </c>
    </row>
    <row r="297" spans="1:5" x14ac:dyDescent="0.3">
      <c r="A297" t="s">
        <v>290</v>
      </c>
      <c r="B297" s="6"/>
      <c r="C297" t="s">
        <v>450</v>
      </c>
      <c r="D297" s="1" t="s">
        <v>376</v>
      </c>
    </row>
    <row r="298" spans="1:5" x14ac:dyDescent="0.3">
      <c r="A298" t="s">
        <v>291</v>
      </c>
      <c r="B298" s="6" t="s">
        <v>375</v>
      </c>
      <c r="C298" t="s">
        <v>455</v>
      </c>
      <c r="D298" s="1"/>
      <c r="E298" s="1"/>
    </row>
    <row r="299" spans="1:5" x14ac:dyDescent="0.3">
      <c r="A299" t="s">
        <v>292</v>
      </c>
      <c r="B299" s="6"/>
      <c r="C299" t="s">
        <v>456</v>
      </c>
      <c r="D299" s="1"/>
      <c r="E299" s="1"/>
    </row>
    <row r="300" spans="1:5" x14ac:dyDescent="0.3">
      <c r="A300" t="s">
        <v>293</v>
      </c>
      <c r="B300" s="6"/>
      <c r="C300" t="s">
        <v>457</v>
      </c>
      <c r="D300" s="1"/>
      <c r="E300" s="1"/>
    </row>
    <row r="301" spans="1:5" x14ac:dyDescent="0.3">
      <c r="A301" t="s">
        <v>294</v>
      </c>
      <c r="B301" s="6"/>
      <c r="C301" t="s">
        <v>458</v>
      </c>
      <c r="D301" s="1"/>
      <c r="E301" s="1"/>
    </row>
    <row r="302" spans="1:5" x14ac:dyDescent="0.3">
      <c r="A302" t="s">
        <v>295</v>
      </c>
      <c r="B302" s="6"/>
      <c r="C302" t="s">
        <v>459</v>
      </c>
      <c r="D302" s="1"/>
      <c r="E302" s="1"/>
    </row>
    <row r="303" spans="1:5" x14ac:dyDescent="0.3">
      <c r="A303" t="s">
        <v>296</v>
      </c>
      <c r="B303" s="6"/>
      <c r="C303" t="s">
        <v>460</v>
      </c>
      <c r="D303" s="1"/>
      <c r="E303" s="1"/>
    </row>
    <row r="304" spans="1:5" x14ac:dyDescent="0.3">
      <c r="A304" t="s">
        <v>297</v>
      </c>
      <c r="B304" s="6"/>
      <c r="C304" t="s">
        <v>461</v>
      </c>
      <c r="D304" s="1"/>
      <c r="E304" s="1"/>
    </row>
    <row r="305" spans="1:5" x14ac:dyDescent="0.3">
      <c r="A305" t="s">
        <v>298</v>
      </c>
      <c r="B305" s="6"/>
      <c r="C305" t="s">
        <v>462</v>
      </c>
      <c r="D305" s="1"/>
      <c r="E305" s="1"/>
    </row>
    <row r="306" spans="1:5" x14ac:dyDescent="0.3">
      <c r="A306" t="s">
        <v>299</v>
      </c>
      <c r="B306" s="6"/>
      <c r="C306" t="s">
        <v>463</v>
      </c>
      <c r="D306" s="1"/>
      <c r="E306" s="1"/>
    </row>
    <row r="307" spans="1:5" x14ac:dyDescent="0.3">
      <c r="A307" t="s">
        <v>300</v>
      </c>
      <c r="B307" s="6"/>
      <c r="C307" t="s">
        <v>464</v>
      </c>
      <c r="D307" s="1"/>
      <c r="E307" s="1"/>
    </row>
    <row r="308" spans="1:5" x14ac:dyDescent="0.3">
      <c r="A308" t="s">
        <v>301</v>
      </c>
      <c r="B308" s="6"/>
      <c r="C308" t="s">
        <v>465</v>
      </c>
      <c r="D308" s="1"/>
      <c r="E308" s="1"/>
    </row>
    <row r="309" spans="1:5" x14ac:dyDescent="0.3">
      <c r="A309" t="s">
        <v>302</v>
      </c>
      <c r="B309" s="6"/>
      <c r="C309" t="s">
        <v>466</v>
      </c>
      <c r="D309" s="1"/>
      <c r="E309" s="1"/>
    </row>
    <row r="310" spans="1:5" x14ac:dyDescent="0.3">
      <c r="A310" t="s">
        <v>303</v>
      </c>
      <c r="B310" s="6"/>
      <c r="C310" t="s">
        <v>467</v>
      </c>
      <c r="D310" s="1"/>
      <c r="E310" s="1"/>
    </row>
    <row r="311" spans="1:5" x14ac:dyDescent="0.3">
      <c r="A311" t="s">
        <v>304</v>
      </c>
      <c r="B311" s="6"/>
      <c r="C311" t="s">
        <v>468</v>
      </c>
      <c r="D311" s="1"/>
      <c r="E311" s="1"/>
    </row>
    <row r="312" spans="1:5" x14ac:dyDescent="0.3">
      <c r="A312" t="s">
        <v>305</v>
      </c>
      <c r="B312" s="6"/>
      <c r="C312" t="s">
        <v>469</v>
      </c>
      <c r="D312" s="1"/>
      <c r="E312" s="1"/>
    </row>
    <row r="313" spans="1:5" x14ac:dyDescent="0.3">
      <c r="A313" t="s">
        <v>306</v>
      </c>
      <c r="B313" s="6"/>
      <c r="C313" t="s">
        <v>470</v>
      </c>
      <c r="D313" s="1"/>
      <c r="E313" s="1"/>
    </row>
    <row r="314" spans="1:5" x14ac:dyDescent="0.3">
      <c r="A314" t="s">
        <v>307</v>
      </c>
      <c r="B314" s="6"/>
      <c r="C314" t="s">
        <v>471</v>
      </c>
      <c r="D314" s="1"/>
      <c r="E314" s="1"/>
    </row>
    <row r="315" spans="1:5" x14ac:dyDescent="0.3">
      <c r="A315" t="s">
        <v>308</v>
      </c>
      <c r="B315" s="6"/>
      <c r="C315" t="s">
        <v>472</v>
      </c>
      <c r="D315" s="1"/>
      <c r="E315" s="1"/>
    </row>
    <row r="316" spans="1:5" x14ac:dyDescent="0.3">
      <c r="A316" t="s">
        <v>309</v>
      </c>
      <c r="B316" s="6"/>
      <c r="C316" t="s">
        <v>473</v>
      </c>
      <c r="D316" s="1"/>
      <c r="E316" s="1"/>
    </row>
    <row r="317" spans="1:5" x14ac:dyDescent="0.3">
      <c r="A317" t="s">
        <v>310</v>
      </c>
      <c r="B317" s="6"/>
      <c r="C317" t="s">
        <v>474</v>
      </c>
      <c r="D317" s="1"/>
      <c r="E317" s="1"/>
    </row>
    <row r="318" spans="1:5" x14ac:dyDescent="0.3">
      <c r="A318" t="s">
        <v>311</v>
      </c>
      <c r="B318" s="6"/>
      <c r="C318" t="s">
        <v>475</v>
      </c>
      <c r="D318" s="1"/>
      <c r="E318" s="1"/>
    </row>
    <row r="319" spans="1:5" x14ac:dyDescent="0.3">
      <c r="A319" t="s">
        <v>312</v>
      </c>
      <c r="B319" s="6"/>
      <c r="C319" t="s">
        <v>476</v>
      </c>
      <c r="D319" s="1"/>
      <c r="E319" s="1"/>
    </row>
    <row r="320" spans="1:5" x14ac:dyDescent="0.3">
      <c r="A320" t="s">
        <v>313</v>
      </c>
      <c r="B320" s="6"/>
      <c r="C320" t="s">
        <v>477</v>
      </c>
      <c r="D320" s="1"/>
      <c r="E320" s="1"/>
    </row>
    <row r="321" spans="1:5" x14ac:dyDescent="0.3">
      <c r="A321" t="s">
        <v>314</v>
      </c>
      <c r="B321" s="6"/>
      <c r="C321" t="s">
        <v>478</v>
      </c>
      <c r="D321" s="1"/>
      <c r="E321" s="1"/>
    </row>
    <row r="322" spans="1:5" x14ac:dyDescent="0.3">
      <c r="A322" t="s">
        <v>315</v>
      </c>
      <c r="B322" s="6"/>
      <c r="C322" t="s">
        <v>479</v>
      </c>
      <c r="D322" s="1"/>
      <c r="E322" s="1"/>
    </row>
    <row r="323" spans="1:5" x14ac:dyDescent="0.3">
      <c r="A323" t="s">
        <v>316</v>
      </c>
      <c r="B323" s="6"/>
      <c r="C323" t="s">
        <v>480</v>
      </c>
      <c r="D323" s="1"/>
      <c r="E323" s="1"/>
    </row>
    <row r="324" spans="1:5" x14ac:dyDescent="0.3">
      <c r="A324" t="s">
        <v>317</v>
      </c>
      <c r="B324" s="6"/>
      <c r="C324" t="s">
        <v>481</v>
      </c>
      <c r="D324" s="1"/>
      <c r="E324" s="1"/>
    </row>
    <row r="325" spans="1:5" x14ac:dyDescent="0.3">
      <c r="A325" t="s">
        <v>318</v>
      </c>
      <c r="B325" s="6"/>
      <c r="C325" t="s">
        <v>482</v>
      </c>
      <c r="D325" s="1"/>
      <c r="E325" s="1"/>
    </row>
    <row r="326" spans="1:5" x14ac:dyDescent="0.3">
      <c r="A326" t="s">
        <v>319</v>
      </c>
      <c r="B326" s="6"/>
      <c r="C326" t="s">
        <v>483</v>
      </c>
      <c r="D326" s="1"/>
      <c r="E326" s="1"/>
    </row>
    <row r="327" spans="1:5" x14ac:dyDescent="0.3">
      <c r="A327" t="s">
        <v>320</v>
      </c>
      <c r="B327" s="6"/>
      <c r="C327" t="s">
        <v>484</v>
      </c>
      <c r="D327" s="1"/>
      <c r="E327" s="1"/>
    </row>
    <row r="328" spans="1:5" x14ac:dyDescent="0.3">
      <c r="A328" t="s">
        <v>321</v>
      </c>
      <c r="B328" s="6"/>
      <c r="C328" t="s">
        <v>485</v>
      </c>
      <c r="D328" s="1"/>
      <c r="E328" s="1"/>
    </row>
    <row r="329" spans="1:5" x14ac:dyDescent="0.3">
      <c r="A329" t="s">
        <v>322</v>
      </c>
      <c r="B329" s="6"/>
      <c r="C329" t="s">
        <v>486</v>
      </c>
      <c r="D329" s="1"/>
      <c r="E329" s="1"/>
    </row>
    <row r="330" spans="1:5" x14ac:dyDescent="0.3">
      <c r="A330" t="s">
        <v>323</v>
      </c>
      <c r="B330" s="6"/>
      <c r="C330" t="s">
        <v>487</v>
      </c>
      <c r="D330" s="1"/>
      <c r="E330" s="1"/>
    </row>
    <row r="331" spans="1:5" x14ac:dyDescent="0.3">
      <c r="A331" t="s">
        <v>324</v>
      </c>
      <c r="B331" s="6"/>
      <c r="C331" s="11" t="s">
        <v>488</v>
      </c>
      <c r="D331" s="1" t="s">
        <v>489</v>
      </c>
      <c r="E331" s="1"/>
    </row>
    <row r="332" spans="1:5" x14ac:dyDescent="0.3">
      <c r="A332" t="s">
        <v>325</v>
      </c>
      <c r="B332" s="6"/>
      <c r="C332" t="s">
        <v>490</v>
      </c>
      <c r="D332" s="1"/>
      <c r="E332" s="1"/>
    </row>
    <row r="333" spans="1:5" x14ac:dyDescent="0.3">
      <c r="A333" t="s">
        <v>326</v>
      </c>
      <c r="B333" s="6"/>
      <c r="C333" t="s">
        <v>491</v>
      </c>
      <c r="D333" s="1"/>
      <c r="E333" s="1"/>
    </row>
    <row r="334" spans="1:5" x14ac:dyDescent="0.3">
      <c r="A334" t="s">
        <v>327</v>
      </c>
      <c r="B334" s="6"/>
      <c r="C334" t="s">
        <v>492</v>
      </c>
      <c r="D334" s="1"/>
      <c r="E334" s="1"/>
    </row>
    <row r="335" spans="1:5" x14ac:dyDescent="0.3">
      <c r="A335" t="s">
        <v>328</v>
      </c>
      <c r="B335" s="6"/>
      <c r="C335" t="s">
        <v>493</v>
      </c>
      <c r="D335" s="1"/>
      <c r="E335" s="1"/>
    </row>
    <row r="336" spans="1:5" x14ac:dyDescent="0.3">
      <c r="A336" t="s">
        <v>329</v>
      </c>
      <c r="B336" s="6"/>
      <c r="C336" t="s">
        <v>494</v>
      </c>
      <c r="D336" s="1"/>
      <c r="E336" s="1"/>
    </row>
    <row r="337" spans="1:5" x14ac:dyDescent="0.3">
      <c r="A337" t="s">
        <v>330</v>
      </c>
      <c r="B337" s="6"/>
      <c r="C337" t="s">
        <v>495</v>
      </c>
      <c r="D337" s="1"/>
      <c r="E337" s="1"/>
    </row>
    <row r="338" spans="1:5" x14ac:dyDescent="0.3">
      <c r="A338" t="s">
        <v>331</v>
      </c>
      <c r="B338" s="6"/>
      <c r="C338" t="s">
        <v>496</v>
      </c>
      <c r="D338" s="1"/>
      <c r="E338" s="1"/>
    </row>
    <row r="339" spans="1:5" x14ac:dyDescent="0.3">
      <c r="A339" t="s">
        <v>332</v>
      </c>
      <c r="B339" s="6"/>
      <c r="C339" t="s">
        <v>497</v>
      </c>
      <c r="D339" s="1"/>
      <c r="E339" s="1"/>
    </row>
    <row r="340" spans="1:5" x14ac:dyDescent="0.3">
      <c r="A340" t="s">
        <v>333</v>
      </c>
      <c r="B340" s="6"/>
      <c r="C340" t="s">
        <v>498</v>
      </c>
      <c r="D340" s="1"/>
      <c r="E340" s="1"/>
    </row>
    <row r="341" spans="1:5" x14ac:dyDescent="0.3">
      <c r="A341" t="s">
        <v>334</v>
      </c>
      <c r="B341" s="6"/>
      <c r="C341" t="s">
        <v>499</v>
      </c>
      <c r="D341" s="1"/>
      <c r="E341" s="1"/>
    </row>
    <row r="342" spans="1:5" x14ac:dyDescent="0.3">
      <c r="A342" t="s">
        <v>335</v>
      </c>
      <c r="B342" s="6"/>
      <c r="C342" t="s">
        <v>500</v>
      </c>
      <c r="D342" s="1"/>
      <c r="E342" s="1"/>
    </row>
    <row r="343" spans="1:5" x14ac:dyDescent="0.3">
      <c r="A343" t="s">
        <v>336</v>
      </c>
      <c r="B343" s="6"/>
      <c r="C343" t="s">
        <v>501</v>
      </c>
      <c r="D343" s="1"/>
      <c r="E343" s="1"/>
    </row>
    <row r="344" spans="1:5" x14ac:dyDescent="0.3">
      <c r="A344" t="s">
        <v>337</v>
      </c>
      <c r="B344" s="6"/>
      <c r="C344" t="s">
        <v>502</v>
      </c>
      <c r="D344" s="1"/>
      <c r="E344" s="1"/>
    </row>
    <row r="345" spans="1:5" x14ac:dyDescent="0.3">
      <c r="A345" t="s">
        <v>338</v>
      </c>
      <c r="B345" s="6"/>
      <c r="C345" t="s">
        <v>503</v>
      </c>
      <c r="D345" s="1"/>
      <c r="E345" s="1"/>
    </row>
    <row r="346" spans="1:5" x14ac:dyDescent="0.3">
      <c r="A346" t="s">
        <v>339</v>
      </c>
      <c r="B346" s="6"/>
      <c r="C346" t="s">
        <v>504</v>
      </c>
      <c r="D346" s="1"/>
      <c r="E346" s="1"/>
    </row>
    <row r="347" spans="1:5" x14ac:dyDescent="0.3">
      <c r="A347" t="s">
        <v>340</v>
      </c>
      <c r="B347" s="6"/>
      <c r="C347" t="s">
        <v>505</v>
      </c>
      <c r="D347" s="1"/>
      <c r="E347" s="1"/>
    </row>
    <row r="348" spans="1:5" x14ac:dyDescent="0.3">
      <c r="A348" t="s">
        <v>341</v>
      </c>
      <c r="B348" s="6"/>
      <c r="C348" t="s">
        <v>506</v>
      </c>
      <c r="D348" s="1"/>
      <c r="E348" s="1"/>
    </row>
    <row r="349" spans="1:5" x14ac:dyDescent="0.3">
      <c r="A349" t="s">
        <v>342</v>
      </c>
      <c r="B349" s="6"/>
      <c r="C349" t="s">
        <v>507</v>
      </c>
      <c r="D349" s="1"/>
      <c r="E349" s="1"/>
    </row>
    <row r="350" spans="1:5" x14ac:dyDescent="0.3">
      <c r="A350" t="s">
        <v>343</v>
      </c>
      <c r="B350" s="6"/>
      <c r="C350" t="s">
        <v>508</v>
      </c>
      <c r="D350" s="1"/>
      <c r="E350" s="1"/>
    </row>
    <row r="351" spans="1:5" x14ac:dyDescent="0.3">
      <c r="A351" t="s">
        <v>344</v>
      </c>
      <c r="B351" s="6"/>
      <c r="C351" t="s">
        <v>509</v>
      </c>
      <c r="D351" s="1"/>
      <c r="E351" s="1"/>
    </row>
    <row r="352" spans="1:5" x14ac:dyDescent="0.3">
      <c r="A352" t="s">
        <v>345</v>
      </c>
      <c r="B352" s="6"/>
      <c r="C352" t="s">
        <v>510</v>
      </c>
      <c r="D352" s="1"/>
      <c r="E352" s="1"/>
    </row>
    <row r="353" spans="1:5" x14ac:dyDescent="0.3">
      <c r="A353" t="s">
        <v>346</v>
      </c>
      <c r="B353" s="6"/>
      <c r="C353" t="s">
        <v>511</v>
      </c>
      <c r="D353" s="1"/>
      <c r="E353" s="1"/>
    </row>
    <row r="354" spans="1:5" x14ac:dyDescent="0.3">
      <c r="A354" t="s">
        <v>347</v>
      </c>
      <c r="B354" s="6"/>
      <c r="C354" t="s">
        <v>512</v>
      </c>
      <c r="D354" s="1"/>
      <c r="E354" s="1"/>
    </row>
    <row r="355" spans="1:5" x14ac:dyDescent="0.3">
      <c r="A355" t="s">
        <v>348</v>
      </c>
      <c r="B355" s="6"/>
      <c r="C355" t="s">
        <v>513</v>
      </c>
      <c r="D355" s="1"/>
      <c r="E355" s="1"/>
    </row>
    <row r="356" spans="1:5" x14ac:dyDescent="0.3">
      <c r="A356" t="s">
        <v>349</v>
      </c>
      <c r="B356" s="6"/>
      <c r="C356" t="s">
        <v>514</v>
      </c>
      <c r="D356" s="1"/>
      <c r="E356" s="1"/>
    </row>
    <row r="357" spans="1:5" x14ac:dyDescent="0.3">
      <c r="A357" t="s">
        <v>350</v>
      </c>
      <c r="B357" s="6"/>
      <c r="C357" t="s">
        <v>515</v>
      </c>
      <c r="D357" s="1"/>
      <c r="E357" s="1"/>
    </row>
    <row r="358" spans="1:5" x14ac:dyDescent="0.3">
      <c r="A358" t="s">
        <v>351</v>
      </c>
      <c r="B358" s="6"/>
      <c r="C358" t="s">
        <v>516</v>
      </c>
      <c r="D358" s="1"/>
      <c r="E358" s="1"/>
    </row>
    <row r="359" spans="1:5" x14ac:dyDescent="0.3">
      <c r="A359" t="s">
        <v>352</v>
      </c>
      <c r="B359" s="6"/>
      <c r="C359" t="s">
        <v>517</v>
      </c>
      <c r="D359" s="1"/>
      <c r="E359" s="1"/>
    </row>
    <row r="360" spans="1:5" x14ac:dyDescent="0.3">
      <c r="A360" t="s">
        <v>353</v>
      </c>
      <c r="B360" s="6"/>
      <c r="C360" t="s">
        <v>518</v>
      </c>
      <c r="D360" s="1"/>
      <c r="E360" s="1"/>
    </row>
    <row r="361" spans="1:5" x14ac:dyDescent="0.3">
      <c r="A361" t="s">
        <v>354</v>
      </c>
      <c r="B361" s="6"/>
      <c r="C361" t="s">
        <v>519</v>
      </c>
      <c r="D361" s="1"/>
      <c r="E361" s="1"/>
    </row>
    <row r="362" spans="1:5" x14ac:dyDescent="0.3">
      <c r="A362" t="s">
        <v>355</v>
      </c>
      <c r="B362" s="6"/>
      <c r="C362" t="s">
        <v>520</v>
      </c>
      <c r="D362" s="1"/>
      <c r="E362" s="1"/>
    </row>
    <row r="363" spans="1:5" x14ac:dyDescent="0.3">
      <c r="A363" t="s">
        <v>356</v>
      </c>
      <c r="B363" s="6"/>
      <c r="C363" t="s">
        <v>521</v>
      </c>
      <c r="D363" s="1"/>
      <c r="E363" s="1"/>
    </row>
    <row r="364" spans="1:5" x14ac:dyDescent="0.3">
      <c r="A364" t="s">
        <v>357</v>
      </c>
      <c r="B364" s="6"/>
      <c r="C364" t="s">
        <v>522</v>
      </c>
      <c r="D364" s="1"/>
      <c r="E364" s="1"/>
    </row>
    <row r="365" spans="1:5" x14ac:dyDescent="0.3">
      <c r="A365" t="s">
        <v>358</v>
      </c>
      <c r="B365" s="6"/>
      <c r="C365" t="s">
        <v>523</v>
      </c>
      <c r="D365" s="1"/>
      <c r="E365" s="1"/>
    </row>
    <row r="366" spans="1:5" x14ac:dyDescent="0.3">
      <c r="A366" t="s">
        <v>359</v>
      </c>
      <c r="B366" s="6"/>
      <c r="C366" t="s">
        <v>524</v>
      </c>
      <c r="D366" s="1"/>
      <c r="E366" s="1"/>
    </row>
    <row r="367" spans="1:5" x14ac:dyDescent="0.3">
      <c r="A367" t="s">
        <v>360</v>
      </c>
      <c r="B367" s="6"/>
      <c r="C367" t="s">
        <v>525</v>
      </c>
      <c r="D367" s="1"/>
      <c r="E367" s="1"/>
    </row>
    <row r="368" spans="1:5" x14ac:dyDescent="0.3">
      <c r="A368" t="s">
        <v>361</v>
      </c>
      <c r="B368" s="6"/>
      <c r="C368" t="s">
        <v>526</v>
      </c>
      <c r="D368" s="1"/>
      <c r="E368" s="1"/>
    </row>
    <row r="369" spans="1:5" x14ac:dyDescent="0.3">
      <c r="A369" t="s">
        <v>362</v>
      </c>
      <c r="B369" s="6"/>
      <c r="C369" t="s">
        <v>527</v>
      </c>
      <c r="D369" s="1"/>
      <c r="E369" s="1"/>
    </row>
    <row r="370" spans="1:5" x14ac:dyDescent="0.3">
      <c r="A370" t="s">
        <v>363</v>
      </c>
      <c r="B370" s="6"/>
      <c r="C370" t="s">
        <v>528</v>
      </c>
      <c r="D370" s="1"/>
      <c r="E370" s="1"/>
    </row>
    <row r="371" spans="1:5" x14ac:dyDescent="0.3">
      <c r="A371" s="12" t="s">
        <v>364</v>
      </c>
      <c r="B371" s="6"/>
      <c r="C371" s="12" t="s">
        <v>529</v>
      </c>
      <c r="D371" s="1" t="s">
        <v>489</v>
      </c>
      <c r="E371" s="1"/>
    </row>
  </sheetData>
  <mergeCells count="5">
    <mergeCell ref="B2:B75"/>
    <mergeCell ref="B150:B223"/>
    <mergeCell ref="B76:B149"/>
    <mergeCell ref="B224:B297"/>
    <mergeCell ref="B298:B37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CEF5B-BB77-4298-87F3-696248D39F7B}">
  <dimension ref="A1:G372"/>
  <sheetViews>
    <sheetView workbookViewId="0">
      <selection activeCell="D76" sqref="D76"/>
    </sheetView>
  </sheetViews>
  <sheetFormatPr defaultRowHeight="16.5" x14ac:dyDescent="0.3"/>
  <cols>
    <col min="1" max="1" width="27.5" customWidth="1"/>
    <col min="2" max="2" width="14.375" style="4" customWidth="1"/>
    <col min="3" max="3" width="42.625" customWidth="1"/>
    <col min="4" max="4" width="14.625" style="1" customWidth="1"/>
    <col min="5" max="5" width="51" style="1" customWidth="1"/>
    <col min="7" max="7" width="14.375" style="1" customWidth="1"/>
    <col min="370" max="370" width="5.875" customWidth="1"/>
  </cols>
  <sheetData>
    <row r="1" spans="1:7" x14ac:dyDescent="0.3">
      <c r="A1" t="s">
        <v>371</v>
      </c>
      <c r="B1" s="3" t="s">
        <v>365</v>
      </c>
      <c r="C1" s="1" t="s">
        <v>366</v>
      </c>
      <c r="D1" s="1" t="s">
        <v>368</v>
      </c>
      <c r="E1" s="1" t="s">
        <v>367</v>
      </c>
      <c r="G1" s="1" t="s">
        <v>377</v>
      </c>
    </row>
    <row r="2" spans="1:7" x14ac:dyDescent="0.3">
      <c r="A2" t="s">
        <v>0</v>
      </c>
      <c r="B2" s="5" t="s">
        <v>369</v>
      </c>
      <c r="C2" t="s">
        <v>378</v>
      </c>
      <c r="D2" s="1" t="s">
        <v>376</v>
      </c>
      <c r="G2" s="1">
        <f>SUM(D76,KJH!D76,LKJ!D76,LSJ!D76,YJH!D76)</f>
        <v>171</v>
      </c>
    </row>
    <row r="3" spans="1:7" x14ac:dyDescent="0.3">
      <c r="A3" t="s">
        <v>1</v>
      </c>
      <c r="B3" s="5"/>
      <c r="C3" t="s">
        <v>530</v>
      </c>
      <c r="D3" s="1" t="s">
        <v>489</v>
      </c>
      <c r="E3" s="1" t="s">
        <v>531</v>
      </c>
      <c r="G3" s="1" t="s">
        <v>379</v>
      </c>
    </row>
    <row r="4" spans="1:7" x14ac:dyDescent="0.3">
      <c r="A4" t="s">
        <v>2</v>
      </c>
      <c r="B4" s="5"/>
      <c r="C4" t="s">
        <v>532</v>
      </c>
      <c r="D4" s="1" t="s">
        <v>489</v>
      </c>
      <c r="G4" s="1">
        <f>COUNTA(E2:E75,KJH!E2:E75,LKJ!E2:E75,LSJ!E2:E75,YJH!E2:E75)</f>
        <v>1</v>
      </c>
    </row>
    <row r="5" spans="1:7" x14ac:dyDescent="0.3">
      <c r="A5" t="s">
        <v>3</v>
      </c>
      <c r="B5" s="5"/>
      <c r="C5" t="s">
        <v>533</v>
      </c>
      <c r="D5" s="1" t="s">
        <v>489</v>
      </c>
    </row>
    <row r="6" spans="1:7" x14ac:dyDescent="0.3">
      <c r="A6" t="s">
        <v>4</v>
      </c>
      <c r="B6" s="5"/>
      <c r="C6" t="s">
        <v>534</v>
      </c>
      <c r="D6" s="1" t="s">
        <v>489</v>
      </c>
    </row>
    <row r="7" spans="1:7" x14ac:dyDescent="0.3">
      <c r="A7" t="s">
        <v>5</v>
      </c>
      <c r="B7" s="5"/>
      <c r="C7" t="s">
        <v>535</v>
      </c>
      <c r="D7" s="1" t="s">
        <v>489</v>
      </c>
    </row>
    <row r="8" spans="1:7" x14ac:dyDescent="0.3">
      <c r="A8" t="s">
        <v>6</v>
      </c>
      <c r="B8" s="5"/>
      <c r="C8" t="s">
        <v>534</v>
      </c>
      <c r="D8" s="1" t="s">
        <v>489</v>
      </c>
    </row>
    <row r="9" spans="1:7" x14ac:dyDescent="0.3">
      <c r="A9" t="s">
        <v>7</v>
      </c>
      <c r="B9" s="5"/>
      <c r="C9" t="s">
        <v>535</v>
      </c>
      <c r="D9" s="1" t="s">
        <v>489</v>
      </c>
    </row>
    <row r="10" spans="1:7" x14ac:dyDescent="0.3">
      <c r="A10" t="s">
        <v>8</v>
      </c>
      <c r="B10" s="5"/>
      <c r="C10" t="s">
        <v>536</v>
      </c>
      <c r="D10" s="1" t="s">
        <v>489</v>
      </c>
    </row>
    <row r="11" spans="1:7" x14ac:dyDescent="0.3">
      <c r="A11" t="s">
        <v>9</v>
      </c>
      <c r="B11" s="5"/>
      <c r="C11" t="s">
        <v>537</v>
      </c>
      <c r="D11" s="1" t="s">
        <v>489</v>
      </c>
    </row>
    <row r="12" spans="1:7" x14ac:dyDescent="0.3">
      <c r="A12" t="s">
        <v>10</v>
      </c>
      <c r="B12" s="5"/>
      <c r="C12" t="s">
        <v>538</v>
      </c>
      <c r="D12" s="1" t="s">
        <v>489</v>
      </c>
    </row>
    <row r="13" spans="1:7" x14ac:dyDescent="0.3">
      <c r="A13" t="s">
        <v>11</v>
      </c>
      <c r="B13" s="5"/>
      <c r="C13" t="s">
        <v>539</v>
      </c>
      <c r="D13" s="1" t="s">
        <v>489</v>
      </c>
    </row>
    <row r="14" spans="1:7" x14ac:dyDescent="0.3">
      <c r="A14" t="s">
        <v>12</v>
      </c>
      <c r="B14" s="5"/>
      <c r="C14" t="s">
        <v>540</v>
      </c>
      <c r="D14" s="1" t="s">
        <v>489</v>
      </c>
    </row>
    <row r="15" spans="1:7" x14ac:dyDescent="0.3">
      <c r="A15" t="s">
        <v>13</v>
      </c>
      <c r="B15" s="5"/>
      <c r="C15" t="s">
        <v>541</v>
      </c>
      <c r="D15" s="1" t="s">
        <v>489</v>
      </c>
    </row>
    <row r="16" spans="1:7" x14ac:dyDescent="0.3">
      <c r="A16" t="s">
        <v>14</v>
      </c>
      <c r="B16" s="5"/>
      <c r="C16" t="s">
        <v>542</v>
      </c>
      <c r="D16" s="1" t="s">
        <v>489</v>
      </c>
    </row>
    <row r="17" spans="1:4" x14ac:dyDescent="0.3">
      <c r="A17" t="s">
        <v>15</v>
      </c>
      <c r="B17" s="5"/>
      <c r="C17" t="s">
        <v>543</v>
      </c>
      <c r="D17" s="1" t="s">
        <v>489</v>
      </c>
    </row>
    <row r="18" spans="1:4" x14ac:dyDescent="0.3">
      <c r="A18" t="s">
        <v>16</v>
      </c>
      <c r="B18" s="5"/>
      <c r="C18" t="s">
        <v>544</v>
      </c>
      <c r="D18" s="1" t="s">
        <v>489</v>
      </c>
    </row>
    <row r="19" spans="1:4" x14ac:dyDescent="0.3">
      <c r="A19" t="s">
        <v>17</v>
      </c>
      <c r="B19" s="5"/>
      <c r="C19" t="s">
        <v>545</v>
      </c>
      <c r="D19" s="1" t="s">
        <v>489</v>
      </c>
    </row>
    <row r="20" spans="1:4" x14ac:dyDescent="0.3">
      <c r="A20" t="s">
        <v>18</v>
      </c>
      <c r="B20" s="5"/>
      <c r="C20" t="s">
        <v>546</v>
      </c>
      <c r="D20" s="1" t="s">
        <v>489</v>
      </c>
    </row>
    <row r="21" spans="1:4" x14ac:dyDescent="0.3">
      <c r="A21" t="s">
        <v>19</v>
      </c>
      <c r="B21" s="5"/>
      <c r="C21" t="s">
        <v>547</v>
      </c>
      <c r="D21" s="1" t="s">
        <v>489</v>
      </c>
    </row>
    <row r="22" spans="1:4" x14ac:dyDescent="0.3">
      <c r="A22" t="s">
        <v>20</v>
      </c>
      <c r="B22" s="5"/>
      <c r="C22" t="s">
        <v>548</v>
      </c>
      <c r="D22" s="1" t="s">
        <v>489</v>
      </c>
    </row>
    <row r="23" spans="1:4" x14ac:dyDescent="0.3">
      <c r="A23" t="s">
        <v>21</v>
      </c>
      <c r="B23" s="5"/>
      <c r="C23" t="s">
        <v>549</v>
      </c>
      <c r="D23" s="1" t="s">
        <v>489</v>
      </c>
    </row>
    <row r="24" spans="1:4" x14ac:dyDescent="0.3">
      <c r="A24" t="s">
        <v>22</v>
      </c>
      <c r="B24" s="5"/>
      <c r="C24" t="s">
        <v>550</v>
      </c>
      <c r="D24" s="1" t="s">
        <v>376</v>
      </c>
    </row>
    <row r="25" spans="1:4" x14ac:dyDescent="0.3">
      <c r="A25" t="s">
        <v>23</v>
      </c>
      <c r="B25" s="5"/>
      <c r="C25" t="s">
        <v>549</v>
      </c>
      <c r="D25" s="1" t="s">
        <v>376</v>
      </c>
    </row>
    <row r="26" spans="1:4" x14ac:dyDescent="0.3">
      <c r="A26" t="s">
        <v>24</v>
      </c>
      <c r="B26" s="5"/>
      <c r="C26" t="s">
        <v>551</v>
      </c>
      <c r="D26" s="1" t="s">
        <v>489</v>
      </c>
    </row>
    <row r="27" spans="1:4" x14ac:dyDescent="0.3">
      <c r="A27" t="s">
        <v>25</v>
      </c>
      <c r="B27" s="5"/>
      <c r="C27" t="s">
        <v>552</v>
      </c>
      <c r="D27" s="1" t="s">
        <v>489</v>
      </c>
    </row>
    <row r="28" spans="1:4" x14ac:dyDescent="0.3">
      <c r="A28" t="s">
        <v>26</v>
      </c>
      <c r="B28" s="5"/>
      <c r="C28" t="s">
        <v>553</v>
      </c>
      <c r="D28" s="1" t="s">
        <v>489</v>
      </c>
    </row>
    <row r="29" spans="1:4" x14ac:dyDescent="0.3">
      <c r="A29" t="s">
        <v>27</v>
      </c>
      <c r="B29" s="5"/>
      <c r="C29" t="s">
        <v>549</v>
      </c>
      <c r="D29" s="1" t="s">
        <v>489</v>
      </c>
    </row>
    <row r="30" spans="1:4" x14ac:dyDescent="0.3">
      <c r="A30" t="s">
        <v>28</v>
      </c>
      <c r="B30" s="5"/>
      <c r="C30" t="s">
        <v>554</v>
      </c>
      <c r="D30" s="1" t="s">
        <v>489</v>
      </c>
    </row>
    <row r="31" spans="1:4" x14ac:dyDescent="0.3">
      <c r="A31" t="s">
        <v>29</v>
      </c>
      <c r="B31" s="5"/>
      <c r="C31" t="s">
        <v>555</v>
      </c>
      <c r="D31" s="1" t="s">
        <v>489</v>
      </c>
    </row>
    <row r="32" spans="1:4" x14ac:dyDescent="0.3">
      <c r="A32" t="s">
        <v>30</v>
      </c>
      <c r="B32" s="5"/>
      <c r="C32" t="s">
        <v>554</v>
      </c>
      <c r="D32" s="1" t="s">
        <v>489</v>
      </c>
    </row>
    <row r="33" spans="1:4" x14ac:dyDescent="0.3">
      <c r="A33" t="s">
        <v>31</v>
      </c>
      <c r="B33" s="5"/>
      <c r="C33" t="s">
        <v>549</v>
      </c>
      <c r="D33" s="1" t="s">
        <v>489</v>
      </c>
    </row>
    <row r="34" spans="1:4" x14ac:dyDescent="0.3">
      <c r="A34" t="s">
        <v>32</v>
      </c>
      <c r="B34" s="5"/>
      <c r="C34" t="s">
        <v>554</v>
      </c>
      <c r="D34" s="1" t="s">
        <v>489</v>
      </c>
    </row>
    <row r="35" spans="1:4" x14ac:dyDescent="0.3">
      <c r="A35" t="s">
        <v>33</v>
      </c>
      <c r="B35" s="5"/>
      <c r="C35" t="s">
        <v>556</v>
      </c>
      <c r="D35" s="1" t="s">
        <v>489</v>
      </c>
    </row>
    <row r="36" spans="1:4" x14ac:dyDescent="0.3">
      <c r="A36" t="s">
        <v>34</v>
      </c>
      <c r="B36" s="5"/>
      <c r="C36" t="s">
        <v>557</v>
      </c>
      <c r="D36" s="1" t="s">
        <v>489</v>
      </c>
    </row>
    <row r="37" spans="1:4" x14ac:dyDescent="0.3">
      <c r="A37" t="s">
        <v>35</v>
      </c>
      <c r="B37" s="5"/>
      <c r="C37" t="s">
        <v>558</v>
      </c>
      <c r="D37" s="1" t="s">
        <v>489</v>
      </c>
    </row>
    <row r="38" spans="1:4" x14ac:dyDescent="0.3">
      <c r="A38" t="s">
        <v>36</v>
      </c>
      <c r="B38" s="5"/>
      <c r="C38" t="s">
        <v>559</v>
      </c>
      <c r="D38" s="1" t="s">
        <v>489</v>
      </c>
    </row>
    <row r="39" spans="1:4" x14ac:dyDescent="0.3">
      <c r="A39" t="s">
        <v>37</v>
      </c>
      <c r="B39" s="5"/>
      <c r="C39" t="s">
        <v>560</v>
      </c>
      <c r="D39" s="1" t="s">
        <v>489</v>
      </c>
    </row>
    <row r="40" spans="1:4" x14ac:dyDescent="0.3">
      <c r="A40" t="s">
        <v>38</v>
      </c>
      <c r="B40" s="5"/>
      <c r="C40" t="s">
        <v>561</v>
      </c>
      <c r="D40" s="1" t="s">
        <v>489</v>
      </c>
    </row>
    <row r="41" spans="1:4" x14ac:dyDescent="0.3">
      <c r="A41" t="s">
        <v>39</v>
      </c>
      <c r="B41" s="5"/>
      <c r="C41" t="s">
        <v>549</v>
      </c>
      <c r="D41" s="1" t="s">
        <v>489</v>
      </c>
    </row>
    <row r="42" spans="1:4" x14ac:dyDescent="0.3">
      <c r="A42" t="s">
        <v>40</v>
      </c>
      <c r="B42" s="5"/>
      <c r="C42" t="s">
        <v>554</v>
      </c>
      <c r="D42" s="1" t="s">
        <v>489</v>
      </c>
    </row>
    <row r="43" spans="1:4" x14ac:dyDescent="0.3">
      <c r="A43" t="s">
        <v>41</v>
      </c>
      <c r="B43" s="5"/>
      <c r="C43" t="s">
        <v>549</v>
      </c>
      <c r="D43" s="1" t="s">
        <v>489</v>
      </c>
    </row>
    <row r="44" spans="1:4" x14ac:dyDescent="0.3">
      <c r="A44" t="s">
        <v>42</v>
      </c>
      <c r="B44" s="5"/>
      <c r="C44" t="s">
        <v>554</v>
      </c>
      <c r="D44" s="1" t="s">
        <v>489</v>
      </c>
    </row>
    <row r="45" spans="1:4" x14ac:dyDescent="0.3">
      <c r="A45" t="s">
        <v>43</v>
      </c>
      <c r="B45" s="5"/>
      <c r="C45" t="s">
        <v>549</v>
      </c>
      <c r="D45" s="1" t="s">
        <v>489</v>
      </c>
    </row>
    <row r="46" spans="1:4" x14ac:dyDescent="0.3">
      <c r="A46" t="s">
        <v>44</v>
      </c>
      <c r="B46" s="5"/>
      <c r="C46" t="s">
        <v>554</v>
      </c>
      <c r="D46" s="1" t="s">
        <v>489</v>
      </c>
    </row>
    <row r="47" spans="1:4" x14ac:dyDescent="0.3">
      <c r="A47" t="s">
        <v>45</v>
      </c>
      <c r="B47" s="5"/>
      <c r="C47" t="s">
        <v>549</v>
      </c>
      <c r="D47" s="1" t="s">
        <v>489</v>
      </c>
    </row>
    <row r="48" spans="1:4" x14ac:dyDescent="0.3">
      <c r="A48" t="s">
        <v>46</v>
      </c>
      <c r="B48" s="5"/>
      <c r="C48" t="s">
        <v>549</v>
      </c>
      <c r="D48" s="1" t="s">
        <v>489</v>
      </c>
    </row>
    <row r="49" spans="1:4" x14ac:dyDescent="0.3">
      <c r="A49" t="s">
        <v>47</v>
      </c>
      <c r="B49" s="5"/>
      <c r="C49" t="s">
        <v>554</v>
      </c>
      <c r="D49" s="1" t="s">
        <v>489</v>
      </c>
    </row>
    <row r="50" spans="1:4" x14ac:dyDescent="0.3">
      <c r="A50" t="s">
        <v>48</v>
      </c>
      <c r="B50" s="5"/>
      <c r="C50" t="s">
        <v>549</v>
      </c>
      <c r="D50" s="1" t="s">
        <v>489</v>
      </c>
    </row>
    <row r="51" spans="1:4" x14ac:dyDescent="0.3">
      <c r="A51" t="s">
        <v>49</v>
      </c>
      <c r="B51" s="5"/>
      <c r="C51" t="s">
        <v>554</v>
      </c>
      <c r="D51" s="1" t="s">
        <v>562</v>
      </c>
    </row>
    <row r="52" spans="1:4" x14ac:dyDescent="0.3">
      <c r="A52" t="s">
        <v>50</v>
      </c>
      <c r="B52" s="5"/>
      <c r="C52" t="s">
        <v>549</v>
      </c>
      <c r="D52" s="1" t="s">
        <v>489</v>
      </c>
    </row>
    <row r="53" spans="1:4" x14ac:dyDescent="0.3">
      <c r="A53" t="s">
        <v>51</v>
      </c>
      <c r="B53" s="5"/>
      <c r="C53" t="s">
        <v>563</v>
      </c>
      <c r="D53" s="1" t="s">
        <v>376</v>
      </c>
    </row>
    <row r="54" spans="1:4" x14ac:dyDescent="0.3">
      <c r="A54" t="s">
        <v>52</v>
      </c>
      <c r="B54" s="5"/>
      <c r="C54" t="s">
        <v>554</v>
      </c>
      <c r="D54" s="1" t="s">
        <v>489</v>
      </c>
    </row>
    <row r="55" spans="1:4" x14ac:dyDescent="0.3">
      <c r="A55" t="s">
        <v>53</v>
      </c>
      <c r="B55" s="5"/>
      <c r="C55" t="s">
        <v>564</v>
      </c>
      <c r="D55" s="1" t="s">
        <v>380</v>
      </c>
    </row>
    <row r="56" spans="1:4" x14ac:dyDescent="0.3">
      <c r="A56" t="s">
        <v>54</v>
      </c>
      <c r="B56" s="5"/>
      <c r="C56" t="s">
        <v>549</v>
      </c>
      <c r="D56" s="1" t="s">
        <v>562</v>
      </c>
    </row>
    <row r="57" spans="1:4" x14ac:dyDescent="0.3">
      <c r="A57" t="s">
        <v>55</v>
      </c>
      <c r="B57" s="5"/>
      <c r="C57" t="s">
        <v>554</v>
      </c>
      <c r="D57" s="1" t="s">
        <v>562</v>
      </c>
    </row>
    <row r="58" spans="1:4" x14ac:dyDescent="0.3">
      <c r="A58" t="s">
        <v>56</v>
      </c>
      <c r="B58" s="5"/>
      <c r="C58" t="s">
        <v>549</v>
      </c>
      <c r="D58" s="1" t="s">
        <v>562</v>
      </c>
    </row>
    <row r="59" spans="1:4" x14ac:dyDescent="0.3">
      <c r="A59" t="s">
        <v>57</v>
      </c>
      <c r="B59" s="5"/>
      <c r="C59" t="s">
        <v>554</v>
      </c>
      <c r="D59" s="1" t="s">
        <v>376</v>
      </c>
    </row>
    <row r="60" spans="1:4" x14ac:dyDescent="0.3">
      <c r="A60" t="s">
        <v>58</v>
      </c>
      <c r="B60" s="5"/>
      <c r="C60" t="s">
        <v>554</v>
      </c>
      <c r="D60" s="1" t="s">
        <v>376</v>
      </c>
    </row>
    <row r="61" spans="1:4" x14ac:dyDescent="0.3">
      <c r="A61" t="s">
        <v>59</v>
      </c>
      <c r="B61" s="5"/>
      <c r="C61" t="s">
        <v>549</v>
      </c>
      <c r="D61" s="1" t="s">
        <v>376</v>
      </c>
    </row>
    <row r="62" spans="1:4" x14ac:dyDescent="0.3">
      <c r="A62" t="s">
        <v>60</v>
      </c>
      <c r="B62" s="5"/>
      <c r="C62" t="s">
        <v>549</v>
      </c>
      <c r="D62" s="1" t="s">
        <v>376</v>
      </c>
    </row>
    <row r="63" spans="1:4" x14ac:dyDescent="0.3">
      <c r="A63" t="s">
        <v>61</v>
      </c>
      <c r="B63" s="5"/>
      <c r="C63" t="s">
        <v>554</v>
      </c>
      <c r="D63" s="1" t="s">
        <v>562</v>
      </c>
    </row>
    <row r="64" spans="1:4" x14ac:dyDescent="0.3">
      <c r="A64" t="s">
        <v>62</v>
      </c>
      <c r="B64" s="5"/>
      <c r="C64" t="s">
        <v>549</v>
      </c>
      <c r="D64" s="1" t="s">
        <v>562</v>
      </c>
    </row>
    <row r="65" spans="1:4" x14ac:dyDescent="0.3">
      <c r="A65" t="s">
        <v>63</v>
      </c>
      <c r="B65" s="5"/>
      <c r="C65" t="s">
        <v>554</v>
      </c>
      <c r="D65" s="1" t="s">
        <v>562</v>
      </c>
    </row>
    <row r="66" spans="1:4" x14ac:dyDescent="0.3">
      <c r="A66" t="s">
        <v>64</v>
      </c>
      <c r="B66" s="5"/>
      <c r="C66" t="s">
        <v>549</v>
      </c>
      <c r="D66" s="1" t="s">
        <v>562</v>
      </c>
    </row>
    <row r="67" spans="1:4" x14ac:dyDescent="0.3">
      <c r="A67" t="s">
        <v>65</v>
      </c>
      <c r="B67" s="5"/>
      <c r="C67" t="s">
        <v>554</v>
      </c>
      <c r="D67" s="1" t="s">
        <v>562</v>
      </c>
    </row>
    <row r="68" spans="1:4" x14ac:dyDescent="0.3">
      <c r="A68" t="s">
        <v>66</v>
      </c>
      <c r="B68" s="5"/>
      <c r="C68" t="s">
        <v>549</v>
      </c>
      <c r="D68" s="1" t="s">
        <v>562</v>
      </c>
    </row>
    <row r="69" spans="1:4" x14ac:dyDescent="0.3">
      <c r="A69" t="s">
        <v>67</v>
      </c>
      <c r="B69" s="5"/>
      <c r="C69" t="s">
        <v>563</v>
      </c>
      <c r="D69" s="1" t="s">
        <v>565</v>
      </c>
    </row>
    <row r="70" spans="1:4" x14ac:dyDescent="0.3">
      <c r="A70" t="s">
        <v>68</v>
      </c>
      <c r="B70" s="5"/>
      <c r="C70" t="s">
        <v>554</v>
      </c>
      <c r="D70" s="1" t="s">
        <v>562</v>
      </c>
    </row>
    <row r="71" spans="1:4" x14ac:dyDescent="0.3">
      <c r="A71" t="s">
        <v>69</v>
      </c>
      <c r="B71" s="5"/>
      <c r="C71" t="s">
        <v>549</v>
      </c>
      <c r="D71" s="1" t="s">
        <v>562</v>
      </c>
    </row>
    <row r="72" spans="1:4" x14ac:dyDescent="0.3">
      <c r="A72" t="s">
        <v>70</v>
      </c>
      <c r="B72" s="5"/>
      <c r="C72" t="s">
        <v>554</v>
      </c>
      <c r="D72" s="1" t="s">
        <v>562</v>
      </c>
    </row>
    <row r="73" spans="1:4" x14ac:dyDescent="0.3">
      <c r="A73" t="s">
        <v>71</v>
      </c>
      <c r="B73" s="5"/>
      <c r="C73" t="s">
        <v>549</v>
      </c>
      <c r="D73" s="1" t="s">
        <v>562</v>
      </c>
    </row>
    <row r="74" spans="1:4" x14ac:dyDescent="0.3">
      <c r="A74" t="s">
        <v>373</v>
      </c>
      <c r="B74" s="5"/>
      <c r="C74" t="s">
        <v>554</v>
      </c>
      <c r="D74" s="1" t="s">
        <v>562</v>
      </c>
    </row>
    <row r="75" spans="1:4" x14ac:dyDescent="0.3">
      <c r="A75" t="s">
        <v>72</v>
      </c>
      <c r="B75" s="5"/>
      <c r="C75" t="s">
        <v>549</v>
      </c>
      <c r="D75" s="1" t="s">
        <v>562</v>
      </c>
    </row>
    <row r="76" spans="1:4" x14ac:dyDescent="0.3">
      <c r="D76" s="1">
        <f>COUNTIF(D2:D75,"=Y")</f>
        <v>10</v>
      </c>
    </row>
    <row r="372" spans="1:1" x14ac:dyDescent="0.3">
      <c r="A372" s="2"/>
    </row>
  </sheetData>
  <mergeCells count="1">
    <mergeCell ref="B2:B75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5362E-66BB-4D5B-8D1C-7F175097BF80}">
  <dimension ref="A1:E76"/>
  <sheetViews>
    <sheetView topLeftCell="A63" workbookViewId="0">
      <selection activeCell="D76" sqref="D76"/>
    </sheetView>
  </sheetViews>
  <sheetFormatPr defaultRowHeight="16.5" x14ac:dyDescent="0.3"/>
  <cols>
    <col min="1" max="1" width="27.25" customWidth="1"/>
    <col min="2" max="2" width="14.5" customWidth="1"/>
    <col min="3" max="3" width="42.625" customWidth="1"/>
    <col min="4" max="4" width="14.625" style="1" customWidth="1"/>
    <col min="5" max="5" width="21.375" style="1" customWidth="1"/>
  </cols>
  <sheetData>
    <row r="1" spans="1:5" x14ac:dyDescent="0.3">
      <c r="A1" t="s">
        <v>371</v>
      </c>
      <c r="B1" s="1" t="s">
        <v>365</v>
      </c>
      <c r="C1" s="1" t="s">
        <v>366</v>
      </c>
      <c r="D1" s="1" t="s">
        <v>368</v>
      </c>
      <c r="E1" s="1" t="s">
        <v>367</v>
      </c>
    </row>
    <row r="2" spans="1:5" x14ac:dyDescent="0.3">
      <c r="A2" t="s">
        <v>73</v>
      </c>
      <c r="B2" s="6" t="s">
        <v>370</v>
      </c>
      <c r="D2" s="13"/>
    </row>
    <row r="3" spans="1:5" x14ac:dyDescent="0.3">
      <c r="A3" t="s">
        <v>74</v>
      </c>
      <c r="B3" s="6"/>
      <c r="D3" s="13"/>
    </row>
    <row r="4" spans="1:5" x14ac:dyDescent="0.3">
      <c r="A4" t="s">
        <v>75</v>
      </c>
      <c r="B4" s="6"/>
      <c r="D4" s="13"/>
    </row>
    <row r="5" spans="1:5" x14ac:dyDescent="0.3">
      <c r="A5" t="s">
        <v>76</v>
      </c>
      <c r="B5" s="6"/>
      <c r="D5" s="13"/>
    </row>
    <row r="6" spans="1:5" x14ac:dyDescent="0.3">
      <c r="A6" t="s">
        <v>77</v>
      </c>
      <c r="B6" s="6"/>
      <c r="D6" s="13" t="s">
        <v>376</v>
      </c>
    </row>
    <row r="7" spans="1:5" x14ac:dyDescent="0.3">
      <c r="A7" t="s">
        <v>78</v>
      </c>
      <c r="B7" s="6"/>
      <c r="D7" s="13" t="s">
        <v>376</v>
      </c>
    </row>
    <row r="8" spans="1:5" x14ac:dyDescent="0.3">
      <c r="A8" t="s">
        <v>79</v>
      </c>
      <c r="B8" s="6"/>
      <c r="D8" s="13"/>
    </row>
    <row r="9" spans="1:5" x14ac:dyDescent="0.3">
      <c r="A9" t="s">
        <v>80</v>
      </c>
      <c r="B9" s="6"/>
      <c r="D9" s="14" t="s">
        <v>376</v>
      </c>
    </row>
    <row r="10" spans="1:5" x14ac:dyDescent="0.3">
      <c r="A10" t="s">
        <v>81</v>
      </c>
      <c r="B10" s="6"/>
      <c r="D10" s="13" t="s">
        <v>376</v>
      </c>
    </row>
    <row r="11" spans="1:5" x14ac:dyDescent="0.3">
      <c r="A11" t="s">
        <v>82</v>
      </c>
      <c r="B11" s="6"/>
      <c r="D11" s="13" t="s">
        <v>376</v>
      </c>
    </row>
    <row r="12" spans="1:5" x14ac:dyDescent="0.3">
      <c r="A12" t="s">
        <v>83</v>
      </c>
      <c r="B12" s="6"/>
      <c r="D12" s="13" t="s">
        <v>376</v>
      </c>
    </row>
    <row r="13" spans="1:5" x14ac:dyDescent="0.3">
      <c r="A13" t="s">
        <v>84</v>
      </c>
      <c r="B13" s="6"/>
      <c r="D13" s="14" t="s">
        <v>376</v>
      </c>
    </row>
    <row r="14" spans="1:5" x14ac:dyDescent="0.3">
      <c r="A14" t="s">
        <v>85</v>
      </c>
      <c r="B14" s="6"/>
      <c r="D14" s="14" t="s">
        <v>376</v>
      </c>
    </row>
    <row r="15" spans="1:5" x14ac:dyDescent="0.3">
      <c r="A15" t="s">
        <v>86</v>
      </c>
      <c r="B15" s="6"/>
      <c r="D15" s="13" t="s">
        <v>376</v>
      </c>
    </row>
    <row r="16" spans="1:5" x14ac:dyDescent="0.3">
      <c r="A16" t="s">
        <v>87</v>
      </c>
      <c r="B16" s="6"/>
      <c r="D16" s="13" t="s">
        <v>376</v>
      </c>
    </row>
    <row r="17" spans="1:4" x14ac:dyDescent="0.3">
      <c r="A17" t="s">
        <v>88</v>
      </c>
      <c r="B17" s="6"/>
      <c r="D17" s="13"/>
    </row>
    <row r="18" spans="1:4" x14ac:dyDescent="0.3">
      <c r="A18" t="s">
        <v>89</v>
      </c>
      <c r="B18" s="6"/>
      <c r="D18" s="13"/>
    </row>
    <row r="19" spans="1:4" x14ac:dyDescent="0.3">
      <c r="A19" t="s">
        <v>90</v>
      </c>
      <c r="B19" s="6"/>
      <c r="D19" s="13"/>
    </row>
    <row r="20" spans="1:4" x14ac:dyDescent="0.3">
      <c r="A20" t="s">
        <v>91</v>
      </c>
      <c r="B20" s="6"/>
      <c r="D20" s="13" t="s">
        <v>376</v>
      </c>
    </row>
    <row r="21" spans="1:4" x14ac:dyDescent="0.3">
      <c r="A21" t="s">
        <v>92</v>
      </c>
      <c r="B21" s="6"/>
      <c r="D21" s="13" t="s">
        <v>376</v>
      </c>
    </row>
    <row r="22" spans="1:4" x14ac:dyDescent="0.3">
      <c r="A22" t="s">
        <v>93</v>
      </c>
      <c r="B22" s="6"/>
      <c r="D22" s="13" t="s">
        <v>376</v>
      </c>
    </row>
    <row r="23" spans="1:4" x14ac:dyDescent="0.3">
      <c r="A23" t="s">
        <v>94</v>
      </c>
      <c r="B23" s="6"/>
      <c r="D23" s="13" t="s">
        <v>376</v>
      </c>
    </row>
    <row r="24" spans="1:4" x14ac:dyDescent="0.3">
      <c r="A24" t="s">
        <v>95</v>
      </c>
      <c r="B24" s="6"/>
      <c r="D24" s="13"/>
    </row>
    <row r="25" spans="1:4" x14ac:dyDescent="0.3">
      <c r="A25" t="s">
        <v>96</v>
      </c>
      <c r="B25" s="6"/>
      <c r="D25" s="13" t="s">
        <v>376</v>
      </c>
    </row>
    <row r="26" spans="1:4" x14ac:dyDescent="0.3">
      <c r="A26" t="s">
        <v>97</v>
      </c>
      <c r="B26" s="6"/>
      <c r="D26" s="13"/>
    </row>
    <row r="27" spans="1:4" x14ac:dyDescent="0.3">
      <c r="A27" t="s">
        <v>98</v>
      </c>
      <c r="B27" s="6"/>
      <c r="D27" s="13" t="s">
        <v>376</v>
      </c>
    </row>
    <row r="28" spans="1:4" x14ac:dyDescent="0.3">
      <c r="A28" t="s">
        <v>99</v>
      </c>
      <c r="B28" s="6"/>
      <c r="D28" s="13" t="s">
        <v>376</v>
      </c>
    </row>
    <row r="29" spans="1:4" x14ac:dyDescent="0.3">
      <c r="A29" t="s">
        <v>100</v>
      </c>
      <c r="B29" s="6"/>
      <c r="D29" s="13" t="s">
        <v>376</v>
      </c>
    </row>
    <row r="30" spans="1:4" x14ac:dyDescent="0.3">
      <c r="A30" t="s">
        <v>101</v>
      </c>
      <c r="B30" s="6"/>
      <c r="D30" s="13" t="s">
        <v>376</v>
      </c>
    </row>
    <row r="31" spans="1:4" x14ac:dyDescent="0.3">
      <c r="A31" t="s">
        <v>102</v>
      </c>
      <c r="B31" s="6"/>
      <c r="D31" s="13" t="s">
        <v>376</v>
      </c>
    </row>
    <row r="32" spans="1:4" x14ac:dyDescent="0.3">
      <c r="A32" t="s">
        <v>103</v>
      </c>
      <c r="B32" s="6"/>
      <c r="D32" s="13" t="s">
        <v>376</v>
      </c>
    </row>
    <row r="33" spans="1:4" x14ac:dyDescent="0.3">
      <c r="A33" t="s">
        <v>104</v>
      </c>
      <c r="B33" s="6"/>
      <c r="D33" s="13"/>
    </row>
    <row r="34" spans="1:4" x14ac:dyDescent="0.3">
      <c r="A34" t="s">
        <v>105</v>
      </c>
      <c r="B34" s="6"/>
      <c r="D34" s="13" t="s">
        <v>376</v>
      </c>
    </row>
    <row r="35" spans="1:4" x14ac:dyDescent="0.3">
      <c r="A35" t="s">
        <v>106</v>
      </c>
      <c r="B35" s="6"/>
      <c r="D35" s="13" t="s">
        <v>376</v>
      </c>
    </row>
    <row r="36" spans="1:4" x14ac:dyDescent="0.3">
      <c r="A36" t="s">
        <v>107</v>
      </c>
      <c r="B36" s="6"/>
      <c r="D36" s="13" t="s">
        <v>376</v>
      </c>
    </row>
    <row r="37" spans="1:4" x14ac:dyDescent="0.3">
      <c r="A37" t="s">
        <v>108</v>
      </c>
      <c r="B37" s="6"/>
      <c r="D37" s="13" t="s">
        <v>376</v>
      </c>
    </row>
    <row r="38" spans="1:4" x14ac:dyDescent="0.3">
      <c r="A38" t="s">
        <v>109</v>
      </c>
      <c r="B38" s="6"/>
      <c r="D38" s="13" t="s">
        <v>376</v>
      </c>
    </row>
    <row r="39" spans="1:4" x14ac:dyDescent="0.3">
      <c r="A39" t="s">
        <v>110</v>
      </c>
      <c r="B39" s="6"/>
      <c r="D39" s="13" t="s">
        <v>376</v>
      </c>
    </row>
    <row r="40" spans="1:4" x14ac:dyDescent="0.3">
      <c r="A40" t="s">
        <v>111</v>
      </c>
      <c r="B40" s="6"/>
      <c r="D40" s="13" t="s">
        <v>376</v>
      </c>
    </row>
    <row r="41" spans="1:4" x14ac:dyDescent="0.3">
      <c r="A41" t="s">
        <v>112</v>
      </c>
      <c r="B41" s="6"/>
      <c r="D41" s="13" t="s">
        <v>376</v>
      </c>
    </row>
    <row r="42" spans="1:4" x14ac:dyDescent="0.3">
      <c r="A42" t="s">
        <v>113</v>
      </c>
      <c r="B42" s="6"/>
      <c r="D42" s="13" t="s">
        <v>376</v>
      </c>
    </row>
    <row r="43" spans="1:4" x14ac:dyDescent="0.3">
      <c r="A43" t="s">
        <v>114</v>
      </c>
      <c r="B43" s="6"/>
      <c r="D43" s="13" t="s">
        <v>376</v>
      </c>
    </row>
    <row r="44" spans="1:4" x14ac:dyDescent="0.3">
      <c r="A44" t="s">
        <v>115</v>
      </c>
      <c r="B44" s="6"/>
      <c r="D44" s="13" t="s">
        <v>376</v>
      </c>
    </row>
    <row r="45" spans="1:4" x14ac:dyDescent="0.3">
      <c r="A45" t="s">
        <v>116</v>
      </c>
      <c r="B45" s="6"/>
      <c r="D45" s="13" t="s">
        <v>376</v>
      </c>
    </row>
    <row r="46" spans="1:4" x14ac:dyDescent="0.3">
      <c r="A46" t="s">
        <v>117</v>
      </c>
      <c r="B46" s="6"/>
      <c r="D46" s="13" t="s">
        <v>376</v>
      </c>
    </row>
    <row r="47" spans="1:4" x14ac:dyDescent="0.3">
      <c r="A47" t="s">
        <v>118</v>
      </c>
      <c r="B47" s="6"/>
      <c r="D47" s="13" t="s">
        <v>376</v>
      </c>
    </row>
    <row r="48" spans="1:4" x14ac:dyDescent="0.3">
      <c r="A48" t="s">
        <v>119</v>
      </c>
      <c r="B48" s="6"/>
      <c r="D48" s="13" t="s">
        <v>376</v>
      </c>
    </row>
    <row r="49" spans="1:4" x14ac:dyDescent="0.3">
      <c r="A49" t="s">
        <v>120</v>
      </c>
      <c r="B49" s="6"/>
      <c r="D49" s="13" t="s">
        <v>376</v>
      </c>
    </row>
    <row r="50" spans="1:4" x14ac:dyDescent="0.3">
      <c r="A50" t="s">
        <v>121</v>
      </c>
      <c r="B50" s="6"/>
      <c r="D50" s="13" t="s">
        <v>376</v>
      </c>
    </row>
    <row r="51" spans="1:4" x14ac:dyDescent="0.3">
      <c r="A51" t="s">
        <v>122</v>
      </c>
      <c r="B51" s="6"/>
      <c r="D51" s="13" t="s">
        <v>376</v>
      </c>
    </row>
    <row r="52" spans="1:4" x14ac:dyDescent="0.3">
      <c r="A52" t="s">
        <v>123</v>
      </c>
      <c r="B52" s="6"/>
      <c r="D52" s="13"/>
    </row>
    <row r="53" spans="1:4" x14ac:dyDescent="0.3">
      <c r="A53" t="s">
        <v>124</v>
      </c>
      <c r="B53" s="6"/>
      <c r="D53" s="13" t="s">
        <v>376</v>
      </c>
    </row>
    <row r="54" spans="1:4" x14ac:dyDescent="0.3">
      <c r="A54" t="s">
        <v>125</v>
      </c>
      <c r="B54" s="6"/>
      <c r="D54" s="13"/>
    </row>
    <row r="55" spans="1:4" x14ac:dyDescent="0.3">
      <c r="A55" t="s">
        <v>126</v>
      </c>
      <c r="B55" s="6"/>
      <c r="D55" s="13"/>
    </row>
    <row r="56" spans="1:4" x14ac:dyDescent="0.3">
      <c r="A56" t="s">
        <v>127</v>
      </c>
      <c r="B56" s="6"/>
      <c r="D56" s="13"/>
    </row>
    <row r="57" spans="1:4" x14ac:dyDescent="0.3">
      <c r="A57" t="s">
        <v>128</v>
      </c>
      <c r="B57" s="6"/>
      <c r="D57" s="13" t="s">
        <v>376</v>
      </c>
    </row>
    <row r="58" spans="1:4" x14ac:dyDescent="0.3">
      <c r="A58" t="s">
        <v>129</v>
      </c>
      <c r="B58" s="6"/>
      <c r="D58" s="13"/>
    </row>
    <row r="59" spans="1:4" x14ac:dyDescent="0.3">
      <c r="A59" t="s">
        <v>130</v>
      </c>
      <c r="B59" s="6"/>
      <c r="D59" s="13"/>
    </row>
    <row r="60" spans="1:4" x14ac:dyDescent="0.3">
      <c r="A60" t="s">
        <v>131</v>
      </c>
      <c r="B60" s="6"/>
      <c r="D60" s="14" t="s">
        <v>376</v>
      </c>
    </row>
    <row r="61" spans="1:4" x14ac:dyDescent="0.3">
      <c r="A61" t="s">
        <v>132</v>
      </c>
      <c r="B61" s="6"/>
      <c r="D61" s="14" t="s">
        <v>376</v>
      </c>
    </row>
    <row r="62" spans="1:4" x14ac:dyDescent="0.3">
      <c r="A62" t="s">
        <v>133</v>
      </c>
      <c r="B62" s="6"/>
      <c r="D62" s="14" t="s">
        <v>376</v>
      </c>
    </row>
    <row r="63" spans="1:4" x14ac:dyDescent="0.3">
      <c r="A63" t="s">
        <v>134</v>
      </c>
      <c r="B63" s="6"/>
      <c r="D63" s="14" t="s">
        <v>376</v>
      </c>
    </row>
    <row r="64" spans="1:4" x14ac:dyDescent="0.3">
      <c r="A64" t="s">
        <v>135</v>
      </c>
      <c r="B64" s="6"/>
      <c r="D64" s="13" t="s">
        <v>376</v>
      </c>
    </row>
    <row r="65" spans="1:4" x14ac:dyDescent="0.3">
      <c r="A65" t="s">
        <v>136</v>
      </c>
      <c r="B65" s="6"/>
      <c r="D65" s="13" t="s">
        <v>376</v>
      </c>
    </row>
    <row r="66" spans="1:4" x14ac:dyDescent="0.3">
      <c r="A66" t="s">
        <v>137</v>
      </c>
      <c r="B66" s="6"/>
      <c r="D66" s="13"/>
    </row>
    <row r="67" spans="1:4" x14ac:dyDescent="0.3">
      <c r="A67" t="s">
        <v>138</v>
      </c>
      <c r="B67" s="6"/>
      <c r="D67" s="13"/>
    </row>
    <row r="68" spans="1:4" x14ac:dyDescent="0.3">
      <c r="A68" t="s">
        <v>139</v>
      </c>
      <c r="B68" s="6"/>
      <c r="D68" s="13" t="s">
        <v>376</v>
      </c>
    </row>
    <row r="69" spans="1:4" x14ac:dyDescent="0.3">
      <c r="A69" t="s">
        <v>140</v>
      </c>
      <c r="B69" s="6"/>
      <c r="D69" s="13" t="s">
        <v>376</v>
      </c>
    </row>
    <row r="70" spans="1:4" x14ac:dyDescent="0.3">
      <c r="A70" t="s">
        <v>141</v>
      </c>
      <c r="B70" s="6"/>
      <c r="D70" s="13" t="s">
        <v>376</v>
      </c>
    </row>
    <row r="71" spans="1:4" x14ac:dyDescent="0.3">
      <c r="A71" t="s">
        <v>142</v>
      </c>
      <c r="B71" s="6"/>
      <c r="D71" s="13" t="s">
        <v>376</v>
      </c>
    </row>
    <row r="72" spans="1:4" x14ac:dyDescent="0.3">
      <c r="A72" t="s">
        <v>143</v>
      </c>
      <c r="B72" s="6"/>
      <c r="D72" s="13" t="s">
        <v>376</v>
      </c>
    </row>
    <row r="73" spans="1:4" x14ac:dyDescent="0.3">
      <c r="A73" t="s">
        <v>144</v>
      </c>
      <c r="B73" s="6"/>
      <c r="D73" s="13" t="s">
        <v>376</v>
      </c>
    </row>
    <row r="74" spans="1:4" x14ac:dyDescent="0.3">
      <c r="A74" t="s">
        <v>145</v>
      </c>
      <c r="B74" s="6"/>
      <c r="D74" s="13" t="s">
        <v>376</v>
      </c>
    </row>
    <row r="75" spans="1:4" x14ac:dyDescent="0.3">
      <c r="A75" t="s">
        <v>146</v>
      </c>
      <c r="B75" s="6"/>
      <c r="D75" s="15" t="s">
        <v>376</v>
      </c>
    </row>
    <row r="76" spans="1:4" x14ac:dyDescent="0.3">
      <c r="D76" s="1">
        <f>COUNTIF(D2:D75,"=Y")</f>
        <v>55</v>
      </c>
    </row>
  </sheetData>
  <mergeCells count="1">
    <mergeCell ref="B2:B75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AC0F0-AD18-4007-AE7A-11F5AC73D0D2}">
  <dimension ref="A1:E76"/>
  <sheetViews>
    <sheetView topLeftCell="A64" workbookViewId="0">
      <selection activeCell="A2" sqref="A2:D75"/>
    </sheetView>
  </sheetViews>
  <sheetFormatPr defaultRowHeight="16.5" x14ac:dyDescent="0.3"/>
  <cols>
    <col min="1" max="1" width="28.25" customWidth="1"/>
    <col min="2" max="2" width="14.5" customWidth="1"/>
    <col min="3" max="3" width="42.625" customWidth="1"/>
    <col min="4" max="4" width="14.625" style="1" customWidth="1"/>
    <col min="5" max="5" width="21.375" style="1" customWidth="1"/>
  </cols>
  <sheetData>
    <row r="1" spans="1:5" x14ac:dyDescent="0.3">
      <c r="A1" t="s">
        <v>371</v>
      </c>
      <c r="B1" s="1" t="s">
        <v>365</v>
      </c>
      <c r="C1" s="1" t="s">
        <v>366</v>
      </c>
      <c r="D1" s="1" t="s">
        <v>368</v>
      </c>
      <c r="E1" s="1" t="s">
        <v>367</v>
      </c>
    </row>
    <row r="2" spans="1:5" x14ac:dyDescent="0.3">
      <c r="A2" t="s">
        <v>147</v>
      </c>
      <c r="B2" s="6" t="s">
        <v>372</v>
      </c>
      <c r="C2" t="s">
        <v>381</v>
      </c>
      <c r="E2"/>
    </row>
    <row r="3" spans="1:5" x14ac:dyDescent="0.3">
      <c r="A3" t="s">
        <v>148</v>
      </c>
      <c r="B3" s="6"/>
      <c r="C3" t="s">
        <v>382</v>
      </c>
      <c r="D3" s="1" t="s">
        <v>376</v>
      </c>
      <c r="E3"/>
    </row>
    <row r="4" spans="1:5" x14ac:dyDescent="0.3">
      <c r="A4" t="s">
        <v>149</v>
      </c>
      <c r="B4" s="6"/>
      <c r="C4" t="s">
        <v>382</v>
      </c>
      <c r="D4" s="1" t="s">
        <v>376</v>
      </c>
      <c r="E4"/>
    </row>
    <row r="5" spans="1:5" x14ac:dyDescent="0.3">
      <c r="A5" t="s">
        <v>150</v>
      </c>
      <c r="B5" s="6"/>
      <c r="C5" t="s">
        <v>382</v>
      </c>
      <c r="D5" s="1" t="s">
        <v>376</v>
      </c>
      <c r="E5"/>
    </row>
    <row r="6" spans="1:5" x14ac:dyDescent="0.3">
      <c r="A6" t="s">
        <v>151</v>
      </c>
      <c r="B6" s="6"/>
      <c r="C6" t="s">
        <v>382</v>
      </c>
      <c r="E6"/>
    </row>
    <row r="7" spans="1:5" x14ac:dyDescent="0.3">
      <c r="A7" t="s">
        <v>152</v>
      </c>
      <c r="B7" s="6"/>
      <c r="C7" t="s">
        <v>382</v>
      </c>
      <c r="D7" s="1" t="s">
        <v>376</v>
      </c>
      <c r="E7"/>
    </row>
    <row r="8" spans="1:5" x14ac:dyDescent="0.3">
      <c r="A8" t="s">
        <v>153</v>
      </c>
      <c r="B8" s="6"/>
      <c r="C8" t="s">
        <v>382</v>
      </c>
      <c r="D8" s="1" t="s">
        <v>376</v>
      </c>
      <c r="E8"/>
    </row>
    <row r="9" spans="1:5" x14ac:dyDescent="0.3">
      <c r="A9" t="s">
        <v>154</v>
      </c>
      <c r="B9" s="6"/>
      <c r="C9" t="s">
        <v>382</v>
      </c>
      <c r="E9"/>
    </row>
    <row r="10" spans="1:5" x14ac:dyDescent="0.3">
      <c r="A10" t="s">
        <v>155</v>
      </c>
      <c r="B10" s="6"/>
      <c r="C10" t="s">
        <v>382</v>
      </c>
      <c r="D10" s="7" t="s">
        <v>376</v>
      </c>
      <c r="E10" s="8"/>
    </row>
    <row r="11" spans="1:5" x14ac:dyDescent="0.3">
      <c r="A11" t="s">
        <v>156</v>
      </c>
      <c r="B11" s="6"/>
      <c r="C11" t="s">
        <v>382</v>
      </c>
      <c r="D11" s="1" t="s">
        <v>376</v>
      </c>
      <c r="E11"/>
    </row>
    <row r="12" spans="1:5" x14ac:dyDescent="0.3">
      <c r="A12" t="s">
        <v>157</v>
      </c>
      <c r="B12" s="6"/>
      <c r="E12"/>
    </row>
    <row r="13" spans="1:5" x14ac:dyDescent="0.3">
      <c r="A13" t="s">
        <v>158</v>
      </c>
      <c r="B13" s="6"/>
      <c r="E13"/>
    </row>
    <row r="14" spans="1:5" x14ac:dyDescent="0.3">
      <c r="A14" t="s">
        <v>159</v>
      </c>
      <c r="B14" s="6"/>
      <c r="C14" t="s">
        <v>382</v>
      </c>
      <c r="D14" s="1" t="s">
        <v>376</v>
      </c>
      <c r="E14"/>
    </row>
    <row r="15" spans="1:5" x14ac:dyDescent="0.3">
      <c r="A15" t="s">
        <v>160</v>
      </c>
      <c r="B15" s="6"/>
      <c r="C15" t="s">
        <v>382</v>
      </c>
      <c r="D15" s="1" t="s">
        <v>376</v>
      </c>
      <c r="E15"/>
    </row>
    <row r="16" spans="1:5" x14ac:dyDescent="0.3">
      <c r="A16" t="s">
        <v>161</v>
      </c>
      <c r="B16" s="6"/>
      <c r="C16" t="s">
        <v>382</v>
      </c>
      <c r="D16" s="7" t="s">
        <v>376</v>
      </c>
      <c r="E16" s="8"/>
    </row>
    <row r="17" spans="1:5" x14ac:dyDescent="0.3">
      <c r="A17" t="s">
        <v>162</v>
      </c>
      <c r="B17" s="6"/>
      <c r="D17" s="1" t="s">
        <v>376</v>
      </c>
      <c r="E17"/>
    </row>
    <row r="18" spans="1:5" x14ac:dyDescent="0.3">
      <c r="A18" t="s">
        <v>163</v>
      </c>
      <c r="B18" s="6"/>
      <c r="D18" s="1" t="s">
        <v>376</v>
      </c>
      <c r="E18"/>
    </row>
    <row r="19" spans="1:5" x14ac:dyDescent="0.3">
      <c r="A19" t="s">
        <v>164</v>
      </c>
      <c r="B19" s="6"/>
      <c r="E19"/>
    </row>
    <row r="20" spans="1:5" x14ac:dyDescent="0.3">
      <c r="A20" t="s">
        <v>165</v>
      </c>
      <c r="B20" s="6"/>
      <c r="D20" s="1" t="s">
        <v>376</v>
      </c>
      <c r="E20"/>
    </row>
    <row r="21" spans="1:5" x14ac:dyDescent="0.3">
      <c r="A21" t="s">
        <v>166</v>
      </c>
      <c r="B21" s="6"/>
      <c r="D21" s="1" t="s">
        <v>376</v>
      </c>
      <c r="E21"/>
    </row>
    <row r="22" spans="1:5" x14ac:dyDescent="0.3">
      <c r="A22" t="s">
        <v>167</v>
      </c>
      <c r="B22" s="6"/>
      <c r="D22" s="1" t="s">
        <v>376</v>
      </c>
      <c r="E22"/>
    </row>
    <row r="23" spans="1:5" x14ac:dyDescent="0.3">
      <c r="A23" t="s">
        <v>168</v>
      </c>
      <c r="B23" s="6"/>
      <c r="D23" s="1" t="s">
        <v>376</v>
      </c>
      <c r="E23"/>
    </row>
    <row r="24" spans="1:5" x14ac:dyDescent="0.3">
      <c r="A24" t="s">
        <v>169</v>
      </c>
      <c r="B24" s="6"/>
      <c r="D24" s="1" t="s">
        <v>376</v>
      </c>
      <c r="E24"/>
    </row>
    <row r="25" spans="1:5" x14ac:dyDescent="0.3">
      <c r="A25" t="s">
        <v>170</v>
      </c>
      <c r="B25" s="6"/>
      <c r="D25" s="1" t="s">
        <v>376</v>
      </c>
      <c r="E25"/>
    </row>
    <row r="26" spans="1:5" x14ac:dyDescent="0.3">
      <c r="A26" t="s">
        <v>171</v>
      </c>
      <c r="B26" s="6"/>
      <c r="D26" s="1" t="s">
        <v>376</v>
      </c>
      <c r="E26"/>
    </row>
    <row r="27" spans="1:5" x14ac:dyDescent="0.3">
      <c r="A27" t="s">
        <v>172</v>
      </c>
      <c r="B27" s="6"/>
      <c r="D27" s="1" t="s">
        <v>376</v>
      </c>
      <c r="E27"/>
    </row>
    <row r="28" spans="1:5" x14ac:dyDescent="0.3">
      <c r="A28" t="s">
        <v>173</v>
      </c>
      <c r="B28" s="6"/>
      <c r="D28" s="1" t="s">
        <v>376</v>
      </c>
      <c r="E28"/>
    </row>
    <row r="29" spans="1:5" x14ac:dyDescent="0.3">
      <c r="A29" t="s">
        <v>174</v>
      </c>
      <c r="B29" s="6"/>
      <c r="D29" s="1" t="s">
        <v>376</v>
      </c>
      <c r="E29"/>
    </row>
    <row r="30" spans="1:5" x14ac:dyDescent="0.3">
      <c r="A30" t="s">
        <v>175</v>
      </c>
      <c r="B30" s="6"/>
      <c r="D30" s="1" t="s">
        <v>376</v>
      </c>
      <c r="E30"/>
    </row>
    <row r="31" spans="1:5" x14ac:dyDescent="0.3">
      <c r="A31" t="s">
        <v>176</v>
      </c>
      <c r="B31" s="6"/>
      <c r="D31" s="1" t="s">
        <v>376</v>
      </c>
      <c r="E31"/>
    </row>
    <row r="32" spans="1:5" x14ac:dyDescent="0.3">
      <c r="A32" t="s">
        <v>177</v>
      </c>
      <c r="B32" s="6"/>
      <c r="D32" s="1" t="s">
        <v>376</v>
      </c>
      <c r="E32"/>
    </row>
    <row r="33" spans="1:5" x14ac:dyDescent="0.3">
      <c r="A33" t="s">
        <v>178</v>
      </c>
      <c r="B33" s="6"/>
      <c r="D33" s="1" t="s">
        <v>376</v>
      </c>
      <c r="E33"/>
    </row>
    <row r="34" spans="1:5" x14ac:dyDescent="0.3">
      <c r="A34" t="s">
        <v>179</v>
      </c>
      <c r="B34" s="6"/>
      <c r="D34" s="1" t="s">
        <v>376</v>
      </c>
      <c r="E34"/>
    </row>
    <row r="35" spans="1:5" x14ac:dyDescent="0.3">
      <c r="A35" t="s">
        <v>180</v>
      </c>
      <c r="B35" s="6"/>
      <c r="D35" s="1" t="s">
        <v>376</v>
      </c>
      <c r="E35"/>
    </row>
    <row r="36" spans="1:5" x14ac:dyDescent="0.3">
      <c r="A36" t="s">
        <v>181</v>
      </c>
      <c r="B36" s="6"/>
      <c r="D36" s="1" t="s">
        <v>376</v>
      </c>
      <c r="E36"/>
    </row>
    <row r="37" spans="1:5" x14ac:dyDescent="0.3">
      <c r="A37" t="s">
        <v>182</v>
      </c>
      <c r="B37" s="6"/>
      <c r="E37"/>
    </row>
    <row r="38" spans="1:5" x14ac:dyDescent="0.3">
      <c r="A38" t="s">
        <v>183</v>
      </c>
      <c r="B38" s="6"/>
      <c r="D38" s="1" t="s">
        <v>376</v>
      </c>
      <c r="E38"/>
    </row>
    <row r="39" spans="1:5" x14ac:dyDescent="0.3">
      <c r="A39" t="s">
        <v>184</v>
      </c>
      <c r="B39" s="6"/>
      <c r="D39" s="1" t="s">
        <v>376</v>
      </c>
      <c r="E39"/>
    </row>
    <row r="40" spans="1:5" x14ac:dyDescent="0.3">
      <c r="A40" t="s">
        <v>185</v>
      </c>
      <c r="B40" s="6"/>
      <c r="D40" s="1" t="s">
        <v>376</v>
      </c>
      <c r="E40"/>
    </row>
    <row r="41" spans="1:5" x14ac:dyDescent="0.3">
      <c r="A41" t="s">
        <v>186</v>
      </c>
      <c r="B41" s="6"/>
      <c r="D41" s="1" t="s">
        <v>376</v>
      </c>
      <c r="E41"/>
    </row>
    <row r="42" spans="1:5" x14ac:dyDescent="0.3">
      <c r="A42" t="s">
        <v>187</v>
      </c>
      <c r="B42" s="6"/>
      <c r="D42" s="1" t="s">
        <v>376</v>
      </c>
      <c r="E42"/>
    </row>
    <row r="43" spans="1:5" x14ac:dyDescent="0.3">
      <c r="A43" t="s">
        <v>188</v>
      </c>
      <c r="B43" s="6"/>
      <c r="D43" s="1" t="s">
        <v>376</v>
      </c>
      <c r="E43"/>
    </row>
    <row r="44" spans="1:5" x14ac:dyDescent="0.3">
      <c r="A44" t="s">
        <v>189</v>
      </c>
      <c r="B44" s="6"/>
      <c r="D44" s="1" t="s">
        <v>376</v>
      </c>
      <c r="E44"/>
    </row>
    <row r="45" spans="1:5" x14ac:dyDescent="0.3">
      <c r="A45" t="s">
        <v>190</v>
      </c>
      <c r="B45" s="6"/>
      <c r="E45"/>
    </row>
    <row r="46" spans="1:5" x14ac:dyDescent="0.3">
      <c r="A46" t="s">
        <v>191</v>
      </c>
      <c r="B46" s="6"/>
      <c r="D46" s="1" t="s">
        <v>376</v>
      </c>
      <c r="E46"/>
    </row>
    <row r="47" spans="1:5" x14ac:dyDescent="0.3">
      <c r="A47" t="s">
        <v>192</v>
      </c>
      <c r="B47" s="6"/>
      <c r="D47" s="1" t="s">
        <v>376</v>
      </c>
      <c r="E47"/>
    </row>
    <row r="48" spans="1:5" x14ac:dyDescent="0.3">
      <c r="A48" t="s">
        <v>193</v>
      </c>
      <c r="B48" s="6"/>
      <c r="E48"/>
    </row>
    <row r="49" spans="1:5" x14ac:dyDescent="0.3">
      <c r="A49" t="s">
        <v>194</v>
      </c>
      <c r="B49" s="6"/>
      <c r="D49" s="1" t="s">
        <v>376</v>
      </c>
      <c r="E49"/>
    </row>
    <row r="50" spans="1:5" x14ac:dyDescent="0.3">
      <c r="A50" t="s">
        <v>195</v>
      </c>
      <c r="B50" s="6"/>
      <c r="D50" s="1" t="s">
        <v>376</v>
      </c>
      <c r="E50"/>
    </row>
    <row r="51" spans="1:5" x14ac:dyDescent="0.3">
      <c r="A51" t="s">
        <v>196</v>
      </c>
      <c r="B51" s="6"/>
      <c r="D51" s="1" t="s">
        <v>376</v>
      </c>
      <c r="E51"/>
    </row>
    <row r="52" spans="1:5" x14ac:dyDescent="0.3">
      <c r="A52" t="s">
        <v>197</v>
      </c>
      <c r="B52" s="6"/>
      <c r="D52" s="1" t="s">
        <v>376</v>
      </c>
      <c r="E52"/>
    </row>
    <row r="53" spans="1:5" x14ac:dyDescent="0.3">
      <c r="A53" t="s">
        <v>198</v>
      </c>
      <c r="B53" s="6"/>
      <c r="D53" s="1" t="s">
        <v>376</v>
      </c>
      <c r="E53"/>
    </row>
    <row r="54" spans="1:5" x14ac:dyDescent="0.3">
      <c r="A54" t="s">
        <v>199</v>
      </c>
      <c r="B54" s="6"/>
      <c r="D54" s="1" t="s">
        <v>376</v>
      </c>
      <c r="E54"/>
    </row>
    <row r="55" spans="1:5" x14ac:dyDescent="0.3">
      <c r="A55" t="s">
        <v>200</v>
      </c>
      <c r="B55" s="6"/>
      <c r="D55" s="1" t="s">
        <v>376</v>
      </c>
      <c r="E55"/>
    </row>
    <row r="56" spans="1:5" x14ac:dyDescent="0.3">
      <c r="A56" t="s">
        <v>201</v>
      </c>
      <c r="B56" s="6"/>
      <c r="D56" s="1" t="s">
        <v>376</v>
      </c>
      <c r="E56"/>
    </row>
    <row r="57" spans="1:5" x14ac:dyDescent="0.3">
      <c r="A57" t="s">
        <v>202</v>
      </c>
      <c r="B57" s="6"/>
      <c r="D57" s="1" t="s">
        <v>376</v>
      </c>
      <c r="E57"/>
    </row>
    <row r="58" spans="1:5" x14ac:dyDescent="0.3">
      <c r="A58" t="s">
        <v>203</v>
      </c>
      <c r="B58" s="6"/>
      <c r="D58" s="1" t="s">
        <v>376</v>
      </c>
      <c r="E58"/>
    </row>
    <row r="59" spans="1:5" x14ac:dyDescent="0.3">
      <c r="A59" t="s">
        <v>204</v>
      </c>
      <c r="B59" s="6"/>
      <c r="D59" s="1" t="s">
        <v>376</v>
      </c>
      <c r="E59"/>
    </row>
    <row r="60" spans="1:5" x14ac:dyDescent="0.3">
      <c r="A60" t="s">
        <v>205</v>
      </c>
      <c r="B60" s="6"/>
      <c r="D60" s="1" t="s">
        <v>376</v>
      </c>
      <c r="E60"/>
    </row>
    <row r="61" spans="1:5" x14ac:dyDescent="0.3">
      <c r="A61" t="s">
        <v>206</v>
      </c>
      <c r="B61" s="6"/>
      <c r="D61" s="1" t="s">
        <v>376</v>
      </c>
      <c r="E61"/>
    </row>
    <row r="62" spans="1:5" x14ac:dyDescent="0.3">
      <c r="A62" t="s">
        <v>207</v>
      </c>
      <c r="B62" s="6"/>
      <c r="D62" s="1" t="s">
        <v>376</v>
      </c>
      <c r="E62"/>
    </row>
    <row r="63" spans="1:5" x14ac:dyDescent="0.3">
      <c r="A63" t="s">
        <v>208</v>
      </c>
      <c r="B63" s="6"/>
      <c r="D63" s="1" t="s">
        <v>376</v>
      </c>
      <c r="E63"/>
    </row>
    <row r="64" spans="1:5" x14ac:dyDescent="0.3">
      <c r="A64" t="s">
        <v>209</v>
      </c>
      <c r="B64" s="6"/>
      <c r="D64" s="1" t="s">
        <v>376</v>
      </c>
      <c r="E64"/>
    </row>
    <row r="65" spans="1:5" x14ac:dyDescent="0.3">
      <c r="A65" t="s">
        <v>210</v>
      </c>
      <c r="B65" s="6"/>
      <c r="D65" s="1" t="s">
        <v>376</v>
      </c>
      <c r="E65"/>
    </row>
    <row r="66" spans="1:5" x14ac:dyDescent="0.3">
      <c r="A66" t="s">
        <v>211</v>
      </c>
      <c r="B66" s="6"/>
      <c r="D66" s="1" t="s">
        <v>376</v>
      </c>
      <c r="E66"/>
    </row>
    <row r="67" spans="1:5" x14ac:dyDescent="0.3">
      <c r="A67" t="s">
        <v>212</v>
      </c>
      <c r="B67" s="6"/>
      <c r="D67" s="1" t="s">
        <v>376</v>
      </c>
      <c r="E67"/>
    </row>
    <row r="68" spans="1:5" x14ac:dyDescent="0.3">
      <c r="A68" t="s">
        <v>213</v>
      </c>
      <c r="B68" s="6"/>
      <c r="D68" s="1" t="s">
        <v>376</v>
      </c>
      <c r="E68"/>
    </row>
    <row r="69" spans="1:5" x14ac:dyDescent="0.3">
      <c r="A69" t="s">
        <v>214</v>
      </c>
      <c r="B69" s="6"/>
      <c r="E69"/>
    </row>
    <row r="70" spans="1:5" x14ac:dyDescent="0.3">
      <c r="A70" t="s">
        <v>215</v>
      </c>
      <c r="B70" s="6"/>
      <c r="E70"/>
    </row>
    <row r="71" spans="1:5" x14ac:dyDescent="0.3">
      <c r="A71" t="s">
        <v>216</v>
      </c>
      <c r="B71" s="6"/>
      <c r="E71"/>
    </row>
    <row r="72" spans="1:5" x14ac:dyDescent="0.3">
      <c r="A72" t="s">
        <v>217</v>
      </c>
      <c r="B72" s="6"/>
      <c r="E72"/>
    </row>
    <row r="73" spans="1:5" x14ac:dyDescent="0.3">
      <c r="A73" t="s">
        <v>218</v>
      </c>
      <c r="B73" s="6"/>
      <c r="E73"/>
    </row>
    <row r="74" spans="1:5" x14ac:dyDescent="0.3">
      <c r="A74" t="s">
        <v>219</v>
      </c>
      <c r="B74" s="6"/>
      <c r="E74"/>
    </row>
    <row r="75" spans="1:5" x14ac:dyDescent="0.3">
      <c r="A75" t="s">
        <v>220</v>
      </c>
      <c r="B75" s="6"/>
      <c r="E75"/>
    </row>
    <row r="76" spans="1:5" x14ac:dyDescent="0.3">
      <c r="D76" s="1">
        <f>COUNTIF(D2:D75,"=Y")</f>
        <v>58</v>
      </c>
    </row>
  </sheetData>
  <mergeCells count="1">
    <mergeCell ref="B2:B75"/>
  </mergeCells>
  <phoneticPr fontId="2" type="noConversion"/>
  <pageMargins left="0.7" right="0.7" top="0.75" bottom="0.75" header="0.3" footer="0.3"/>
  <pageSetup paperSize="9" orientation="portrait" horizontalDpi="4294967292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F2C05-F367-4C39-8365-CA4F7D6FC375}">
  <dimension ref="A1:E76"/>
  <sheetViews>
    <sheetView topLeftCell="A51" workbookViewId="0">
      <selection activeCell="A2" sqref="A2:D75"/>
    </sheetView>
  </sheetViews>
  <sheetFormatPr defaultRowHeight="16.5" x14ac:dyDescent="0.3"/>
  <cols>
    <col min="1" max="1" width="28.75" customWidth="1"/>
    <col min="2" max="2" width="14.5" customWidth="1"/>
    <col min="3" max="3" width="42.625" customWidth="1"/>
    <col min="4" max="4" width="14.625" style="1" customWidth="1"/>
    <col min="5" max="5" width="21.375" style="1" customWidth="1"/>
  </cols>
  <sheetData>
    <row r="1" spans="1:5" x14ac:dyDescent="0.3">
      <c r="A1" t="s">
        <v>371</v>
      </c>
      <c r="B1" s="1" t="s">
        <v>365</v>
      </c>
      <c r="C1" s="1" t="s">
        <v>366</v>
      </c>
      <c r="D1" s="1" t="s">
        <v>368</v>
      </c>
      <c r="E1" s="1" t="s">
        <v>367</v>
      </c>
    </row>
    <row r="2" spans="1:5" x14ac:dyDescent="0.3">
      <c r="A2" t="s">
        <v>451</v>
      </c>
      <c r="B2" s="6" t="s">
        <v>374</v>
      </c>
      <c r="C2" t="s">
        <v>383</v>
      </c>
      <c r="D2" s="1" t="s">
        <v>376</v>
      </c>
    </row>
    <row r="3" spans="1:5" x14ac:dyDescent="0.3">
      <c r="A3" s="10" t="s">
        <v>221</v>
      </c>
      <c r="B3" s="6"/>
      <c r="D3" s="1" t="s">
        <v>376</v>
      </c>
    </row>
    <row r="4" spans="1:5" x14ac:dyDescent="0.3">
      <c r="A4" t="s">
        <v>222</v>
      </c>
      <c r="B4" s="6"/>
      <c r="C4" t="s">
        <v>384</v>
      </c>
      <c r="D4" s="1" t="s">
        <v>376</v>
      </c>
    </row>
    <row r="5" spans="1:5" x14ac:dyDescent="0.3">
      <c r="A5" t="s">
        <v>223</v>
      </c>
      <c r="B5" s="6"/>
      <c r="C5" t="s">
        <v>385</v>
      </c>
    </row>
    <row r="6" spans="1:5" x14ac:dyDescent="0.3">
      <c r="A6" t="s">
        <v>224</v>
      </c>
      <c r="B6" s="6"/>
      <c r="C6" t="s">
        <v>386</v>
      </c>
      <c r="D6" s="1" t="s">
        <v>376</v>
      </c>
    </row>
    <row r="7" spans="1:5" x14ac:dyDescent="0.3">
      <c r="A7" t="s">
        <v>225</v>
      </c>
      <c r="B7" s="6"/>
      <c r="C7" t="s">
        <v>387</v>
      </c>
      <c r="D7" s="1" t="s">
        <v>376</v>
      </c>
    </row>
    <row r="8" spans="1:5" x14ac:dyDescent="0.3">
      <c r="A8" t="s">
        <v>226</v>
      </c>
      <c r="B8" s="6"/>
      <c r="C8" t="s">
        <v>388</v>
      </c>
      <c r="D8" s="1" t="s">
        <v>376</v>
      </c>
    </row>
    <row r="9" spans="1:5" x14ac:dyDescent="0.3">
      <c r="A9" t="s">
        <v>227</v>
      </c>
      <c r="B9" s="6"/>
      <c r="C9" t="s">
        <v>389</v>
      </c>
      <c r="D9" s="1" t="s">
        <v>376</v>
      </c>
    </row>
    <row r="10" spans="1:5" x14ac:dyDescent="0.3">
      <c r="A10" t="s">
        <v>228</v>
      </c>
      <c r="B10" s="6"/>
      <c r="C10" t="s">
        <v>390</v>
      </c>
      <c r="D10" s="1" t="s">
        <v>376</v>
      </c>
    </row>
    <row r="11" spans="1:5" x14ac:dyDescent="0.3">
      <c r="A11" t="s">
        <v>229</v>
      </c>
      <c r="B11" s="6"/>
      <c r="C11" t="s">
        <v>391</v>
      </c>
      <c r="D11" s="1" t="s">
        <v>376</v>
      </c>
    </row>
    <row r="12" spans="1:5" x14ac:dyDescent="0.3">
      <c r="A12" t="s">
        <v>230</v>
      </c>
      <c r="B12" s="6"/>
      <c r="C12" t="s">
        <v>392</v>
      </c>
      <c r="D12" s="1" t="s">
        <v>376</v>
      </c>
    </row>
    <row r="13" spans="1:5" x14ac:dyDescent="0.3">
      <c r="A13" t="s">
        <v>231</v>
      </c>
      <c r="B13" s="6"/>
      <c r="C13" t="s">
        <v>393</v>
      </c>
      <c r="D13" s="1" t="s">
        <v>376</v>
      </c>
    </row>
    <row r="14" spans="1:5" x14ac:dyDescent="0.3">
      <c r="A14" t="s">
        <v>232</v>
      </c>
      <c r="B14" s="6"/>
      <c r="C14" t="s">
        <v>394</v>
      </c>
      <c r="D14" s="1" t="s">
        <v>376</v>
      </c>
    </row>
    <row r="15" spans="1:5" x14ac:dyDescent="0.3">
      <c r="A15" s="10" t="s">
        <v>233</v>
      </c>
      <c r="B15" s="6"/>
      <c r="C15" t="s">
        <v>395</v>
      </c>
      <c r="D15" s="1" t="s">
        <v>376</v>
      </c>
    </row>
    <row r="16" spans="1:5" x14ac:dyDescent="0.3">
      <c r="A16" t="s">
        <v>234</v>
      </c>
      <c r="B16" s="6"/>
      <c r="C16" t="s">
        <v>396</v>
      </c>
      <c r="D16" s="1" t="s">
        <v>376</v>
      </c>
    </row>
    <row r="17" spans="1:4" x14ac:dyDescent="0.3">
      <c r="A17" t="s">
        <v>235</v>
      </c>
      <c r="B17" s="6"/>
      <c r="C17" t="s">
        <v>397</v>
      </c>
      <c r="D17" s="1" t="s">
        <v>376</v>
      </c>
    </row>
    <row r="18" spans="1:4" x14ac:dyDescent="0.3">
      <c r="A18" t="s">
        <v>236</v>
      </c>
      <c r="B18" s="6"/>
      <c r="C18" t="s">
        <v>398</v>
      </c>
      <c r="D18" s="1" t="s">
        <v>376</v>
      </c>
    </row>
    <row r="19" spans="1:4" x14ac:dyDescent="0.3">
      <c r="A19" s="10" t="s">
        <v>237</v>
      </c>
      <c r="B19" s="6"/>
      <c r="C19" t="s">
        <v>395</v>
      </c>
      <c r="D19" s="1" t="s">
        <v>376</v>
      </c>
    </row>
    <row r="20" spans="1:4" x14ac:dyDescent="0.3">
      <c r="A20" t="s">
        <v>238</v>
      </c>
      <c r="B20" s="6"/>
      <c r="C20" t="s">
        <v>399</v>
      </c>
      <c r="D20" s="1" t="s">
        <v>376</v>
      </c>
    </row>
    <row r="21" spans="1:4" x14ac:dyDescent="0.3">
      <c r="A21" t="s">
        <v>452</v>
      </c>
      <c r="B21" s="6"/>
      <c r="C21" t="s">
        <v>400</v>
      </c>
    </row>
    <row r="22" spans="1:4" x14ac:dyDescent="0.3">
      <c r="A22" t="s">
        <v>239</v>
      </c>
      <c r="B22" s="6"/>
      <c r="C22" t="s">
        <v>401</v>
      </c>
    </row>
    <row r="23" spans="1:4" x14ac:dyDescent="0.3">
      <c r="A23" t="s">
        <v>240</v>
      </c>
      <c r="B23" s="6"/>
      <c r="C23" t="s">
        <v>402</v>
      </c>
      <c r="D23" s="1" t="s">
        <v>376</v>
      </c>
    </row>
    <row r="24" spans="1:4" x14ac:dyDescent="0.3">
      <c r="A24" t="s">
        <v>241</v>
      </c>
      <c r="B24" s="6"/>
      <c r="C24" t="s">
        <v>403</v>
      </c>
      <c r="D24" s="1" t="s">
        <v>376</v>
      </c>
    </row>
    <row r="25" spans="1:4" x14ac:dyDescent="0.3">
      <c r="A25" s="10" t="s">
        <v>242</v>
      </c>
      <c r="B25" s="6"/>
      <c r="C25" t="s">
        <v>395</v>
      </c>
      <c r="D25" s="1" t="s">
        <v>376</v>
      </c>
    </row>
    <row r="26" spans="1:4" x14ac:dyDescent="0.3">
      <c r="A26" t="s">
        <v>243</v>
      </c>
      <c r="B26" s="6"/>
      <c r="C26" t="s">
        <v>404</v>
      </c>
      <c r="D26" s="1" t="s">
        <v>376</v>
      </c>
    </row>
    <row r="27" spans="1:4" x14ac:dyDescent="0.3">
      <c r="A27" t="s">
        <v>244</v>
      </c>
      <c r="B27" s="6"/>
      <c r="C27" t="s">
        <v>405</v>
      </c>
      <c r="D27" s="1" t="s">
        <v>376</v>
      </c>
    </row>
    <row r="28" spans="1:4" x14ac:dyDescent="0.3">
      <c r="A28" t="s">
        <v>453</v>
      </c>
      <c r="B28" s="6"/>
      <c r="C28" t="s">
        <v>406</v>
      </c>
      <c r="D28" s="1" t="s">
        <v>376</v>
      </c>
    </row>
    <row r="29" spans="1:4" x14ac:dyDescent="0.3">
      <c r="A29" s="10" t="s">
        <v>454</v>
      </c>
      <c r="B29" s="6"/>
      <c r="C29" t="s">
        <v>395</v>
      </c>
      <c r="D29" s="1" t="s">
        <v>376</v>
      </c>
    </row>
    <row r="30" spans="1:4" x14ac:dyDescent="0.3">
      <c r="A30" t="s">
        <v>245</v>
      </c>
      <c r="B30" s="6"/>
      <c r="C30" t="s">
        <v>407</v>
      </c>
      <c r="D30" s="1" t="s">
        <v>376</v>
      </c>
    </row>
    <row r="31" spans="1:4" x14ac:dyDescent="0.3">
      <c r="A31" t="s">
        <v>246</v>
      </c>
      <c r="B31" s="6"/>
      <c r="C31" t="s">
        <v>408</v>
      </c>
      <c r="D31" s="1" t="s">
        <v>376</v>
      </c>
    </row>
    <row r="32" spans="1:4" x14ac:dyDescent="0.3">
      <c r="A32" t="s">
        <v>247</v>
      </c>
      <c r="B32" s="6"/>
      <c r="C32" s="9" t="s">
        <v>409</v>
      </c>
      <c r="D32" s="1" t="s">
        <v>376</v>
      </c>
    </row>
    <row r="33" spans="1:4" x14ac:dyDescent="0.3">
      <c r="A33" t="s">
        <v>248</v>
      </c>
      <c r="B33" s="6"/>
      <c r="C33" t="s">
        <v>410</v>
      </c>
      <c r="D33" s="1" t="s">
        <v>376</v>
      </c>
    </row>
    <row r="34" spans="1:4" x14ac:dyDescent="0.3">
      <c r="A34" t="s">
        <v>249</v>
      </c>
      <c r="B34" s="6"/>
      <c r="C34" t="s">
        <v>411</v>
      </c>
      <c r="D34" s="1" t="s">
        <v>376</v>
      </c>
    </row>
    <row r="35" spans="1:4" x14ac:dyDescent="0.3">
      <c r="A35" t="s">
        <v>250</v>
      </c>
      <c r="B35" s="6"/>
      <c r="C35" t="s">
        <v>412</v>
      </c>
    </row>
    <row r="36" spans="1:4" x14ac:dyDescent="0.3">
      <c r="A36" t="s">
        <v>251</v>
      </c>
      <c r="B36" s="6"/>
      <c r="C36" t="s">
        <v>413</v>
      </c>
    </row>
    <row r="37" spans="1:4" x14ac:dyDescent="0.3">
      <c r="A37" t="s">
        <v>252</v>
      </c>
      <c r="B37" s="6"/>
      <c r="C37" t="s">
        <v>414</v>
      </c>
    </row>
    <row r="38" spans="1:4" x14ac:dyDescent="0.3">
      <c r="A38" t="s">
        <v>253</v>
      </c>
      <c r="B38" s="6"/>
      <c r="C38" t="s">
        <v>415</v>
      </c>
    </row>
    <row r="39" spans="1:4" x14ac:dyDescent="0.3">
      <c r="A39" t="s">
        <v>254</v>
      </c>
      <c r="B39" s="6"/>
      <c r="C39" t="s">
        <v>416</v>
      </c>
    </row>
    <row r="40" spans="1:4" x14ac:dyDescent="0.3">
      <c r="A40" t="s">
        <v>255</v>
      </c>
      <c r="B40" s="6"/>
      <c r="C40" t="s">
        <v>417</v>
      </c>
    </row>
    <row r="41" spans="1:4" x14ac:dyDescent="0.3">
      <c r="A41" t="s">
        <v>256</v>
      </c>
      <c r="B41" s="6"/>
      <c r="C41" t="s">
        <v>418</v>
      </c>
    </row>
    <row r="42" spans="1:4" x14ac:dyDescent="0.3">
      <c r="A42" s="10" t="s">
        <v>257</v>
      </c>
      <c r="B42" s="6"/>
      <c r="C42" t="s">
        <v>395</v>
      </c>
      <c r="D42" s="1" t="s">
        <v>376</v>
      </c>
    </row>
    <row r="43" spans="1:4" x14ac:dyDescent="0.3">
      <c r="A43" s="10" t="s">
        <v>258</v>
      </c>
      <c r="B43" s="6"/>
      <c r="C43" t="s">
        <v>395</v>
      </c>
      <c r="D43" s="1" t="s">
        <v>376</v>
      </c>
    </row>
    <row r="44" spans="1:4" x14ac:dyDescent="0.3">
      <c r="A44" t="s">
        <v>259</v>
      </c>
      <c r="B44" s="6"/>
      <c r="C44" t="s">
        <v>419</v>
      </c>
    </row>
    <row r="45" spans="1:4" x14ac:dyDescent="0.3">
      <c r="A45" t="s">
        <v>260</v>
      </c>
      <c r="B45" s="6"/>
      <c r="C45" t="s">
        <v>420</v>
      </c>
    </row>
    <row r="46" spans="1:4" x14ac:dyDescent="0.3">
      <c r="A46" t="s">
        <v>261</v>
      </c>
      <c r="B46" s="6"/>
      <c r="C46" t="s">
        <v>421</v>
      </c>
      <c r="D46" s="1" t="s">
        <v>376</v>
      </c>
    </row>
    <row r="47" spans="1:4" x14ac:dyDescent="0.3">
      <c r="A47" t="s">
        <v>262</v>
      </c>
      <c r="B47" s="6"/>
      <c r="C47" t="s">
        <v>422</v>
      </c>
      <c r="D47" s="1" t="s">
        <v>376</v>
      </c>
    </row>
    <row r="48" spans="1:4" x14ac:dyDescent="0.3">
      <c r="A48" t="s">
        <v>263</v>
      </c>
      <c r="B48" s="6"/>
      <c r="C48" t="s">
        <v>423</v>
      </c>
      <c r="D48" s="1" t="s">
        <v>376</v>
      </c>
    </row>
    <row r="49" spans="1:4" x14ac:dyDescent="0.3">
      <c r="A49" t="s">
        <v>264</v>
      </c>
      <c r="B49" s="6"/>
      <c r="C49" t="s">
        <v>424</v>
      </c>
      <c r="D49" s="1" t="s">
        <v>376</v>
      </c>
    </row>
    <row r="50" spans="1:4" x14ac:dyDescent="0.3">
      <c r="A50" t="s">
        <v>265</v>
      </c>
      <c r="B50" s="6"/>
      <c r="C50" t="s">
        <v>425</v>
      </c>
      <c r="D50" s="1" t="s">
        <v>376</v>
      </c>
    </row>
    <row r="51" spans="1:4" x14ac:dyDescent="0.3">
      <c r="A51" t="s">
        <v>266</v>
      </c>
      <c r="B51" s="6"/>
      <c r="C51" t="s">
        <v>426</v>
      </c>
      <c r="D51" s="1" t="s">
        <v>376</v>
      </c>
    </row>
    <row r="52" spans="1:4" x14ac:dyDescent="0.3">
      <c r="A52" t="s">
        <v>267</v>
      </c>
      <c r="B52" s="6"/>
      <c r="C52" t="s">
        <v>427</v>
      </c>
      <c r="D52" s="1" t="s">
        <v>376</v>
      </c>
    </row>
    <row r="53" spans="1:4" x14ac:dyDescent="0.3">
      <c r="A53" t="s">
        <v>268</v>
      </c>
      <c r="B53" s="6"/>
      <c r="C53" t="s">
        <v>428</v>
      </c>
      <c r="D53" s="1" t="s">
        <v>376</v>
      </c>
    </row>
    <row r="54" spans="1:4" x14ac:dyDescent="0.3">
      <c r="A54" t="s">
        <v>269</v>
      </c>
      <c r="B54" s="6"/>
      <c r="C54" t="s">
        <v>429</v>
      </c>
    </row>
    <row r="55" spans="1:4" x14ac:dyDescent="0.3">
      <c r="A55" t="s">
        <v>270</v>
      </c>
      <c r="B55" s="6"/>
      <c r="C55" t="s">
        <v>430</v>
      </c>
    </row>
    <row r="56" spans="1:4" x14ac:dyDescent="0.3">
      <c r="A56" t="s">
        <v>271</v>
      </c>
      <c r="B56" s="6"/>
      <c r="C56" t="s">
        <v>431</v>
      </c>
    </row>
    <row r="57" spans="1:4" x14ac:dyDescent="0.3">
      <c r="A57" t="s">
        <v>272</v>
      </c>
      <c r="B57" s="6"/>
      <c r="C57" t="s">
        <v>432</v>
      </c>
    </row>
    <row r="58" spans="1:4" x14ac:dyDescent="0.3">
      <c r="A58" t="s">
        <v>273</v>
      </c>
      <c r="B58" s="6"/>
      <c r="C58" t="s">
        <v>433</v>
      </c>
    </row>
    <row r="59" spans="1:4" x14ac:dyDescent="0.3">
      <c r="A59" t="s">
        <v>274</v>
      </c>
      <c r="B59" s="6"/>
      <c r="C59" t="s">
        <v>434</v>
      </c>
    </row>
    <row r="60" spans="1:4" x14ac:dyDescent="0.3">
      <c r="A60" t="s">
        <v>275</v>
      </c>
      <c r="B60" s="6"/>
      <c r="C60" t="s">
        <v>435</v>
      </c>
    </row>
    <row r="61" spans="1:4" x14ac:dyDescent="0.3">
      <c r="A61" t="s">
        <v>276</v>
      </c>
      <c r="B61" s="6"/>
      <c r="C61" t="s">
        <v>436</v>
      </c>
    </row>
    <row r="62" spans="1:4" x14ac:dyDescent="0.3">
      <c r="A62" t="s">
        <v>277</v>
      </c>
      <c r="B62" s="6"/>
      <c r="C62" t="s">
        <v>437</v>
      </c>
    </row>
    <row r="63" spans="1:4" x14ac:dyDescent="0.3">
      <c r="A63" t="s">
        <v>278</v>
      </c>
      <c r="B63" s="6"/>
      <c r="C63" t="s">
        <v>438</v>
      </c>
    </row>
    <row r="64" spans="1:4" x14ac:dyDescent="0.3">
      <c r="A64" t="s">
        <v>279</v>
      </c>
      <c r="B64" s="6"/>
      <c r="C64" t="s">
        <v>439</v>
      </c>
    </row>
    <row r="65" spans="1:4" x14ac:dyDescent="0.3">
      <c r="A65" t="s">
        <v>280</v>
      </c>
      <c r="B65" s="6"/>
      <c r="C65" t="s">
        <v>440</v>
      </c>
      <c r="D65" s="1" t="s">
        <v>376</v>
      </c>
    </row>
    <row r="66" spans="1:4" x14ac:dyDescent="0.3">
      <c r="A66" t="s">
        <v>281</v>
      </c>
      <c r="B66" s="6"/>
      <c r="C66" t="s">
        <v>441</v>
      </c>
      <c r="D66" s="1" t="s">
        <v>376</v>
      </c>
    </row>
    <row r="67" spans="1:4" x14ac:dyDescent="0.3">
      <c r="A67" t="s">
        <v>282</v>
      </c>
      <c r="B67" s="6"/>
      <c r="C67" t="s">
        <v>442</v>
      </c>
      <c r="D67" s="1" t="s">
        <v>376</v>
      </c>
    </row>
    <row r="68" spans="1:4" x14ac:dyDescent="0.3">
      <c r="A68" t="s">
        <v>283</v>
      </c>
      <c r="B68" s="6"/>
      <c r="C68" t="s">
        <v>443</v>
      </c>
      <c r="D68" s="1" t="s">
        <v>376</v>
      </c>
    </row>
    <row r="69" spans="1:4" x14ac:dyDescent="0.3">
      <c r="A69" t="s">
        <v>284</v>
      </c>
      <c r="B69" s="6"/>
      <c r="C69" t="s">
        <v>444</v>
      </c>
      <c r="D69" s="1" t="s">
        <v>376</v>
      </c>
    </row>
    <row r="70" spans="1:4" x14ac:dyDescent="0.3">
      <c r="A70" t="s">
        <v>285</v>
      </c>
      <c r="B70" s="6"/>
      <c r="C70" t="s">
        <v>445</v>
      </c>
    </row>
    <row r="71" spans="1:4" x14ac:dyDescent="0.3">
      <c r="A71" t="s">
        <v>286</v>
      </c>
      <c r="B71" s="6"/>
      <c r="C71" t="s">
        <v>446</v>
      </c>
      <c r="D71" s="1" t="s">
        <v>376</v>
      </c>
    </row>
    <row r="72" spans="1:4" x14ac:dyDescent="0.3">
      <c r="A72" t="s">
        <v>287</v>
      </c>
      <c r="B72" s="6"/>
      <c r="C72" t="s">
        <v>447</v>
      </c>
    </row>
    <row r="73" spans="1:4" x14ac:dyDescent="0.3">
      <c r="A73" t="s">
        <v>288</v>
      </c>
      <c r="B73" s="6"/>
      <c r="C73" t="s">
        <v>448</v>
      </c>
    </row>
    <row r="74" spans="1:4" x14ac:dyDescent="0.3">
      <c r="A74" t="s">
        <v>289</v>
      </c>
      <c r="B74" s="6"/>
      <c r="C74" t="s">
        <v>449</v>
      </c>
      <c r="D74" s="1" t="s">
        <v>376</v>
      </c>
    </row>
    <row r="75" spans="1:4" x14ac:dyDescent="0.3">
      <c r="A75" t="s">
        <v>290</v>
      </c>
      <c r="B75" s="6"/>
      <c r="C75" t="s">
        <v>450</v>
      </c>
      <c r="D75" s="1" t="s">
        <v>376</v>
      </c>
    </row>
    <row r="76" spans="1:4" x14ac:dyDescent="0.3">
      <c r="D76" s="1">
        <f>COUNTIF(D2:D75,"=Y")</f>
        <v>48</v>
      </c>
    </row>
  </sheetData>
  <mergeCells count="1">
    <mergeCell ref="B2:B75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441CA-1FE7-430E-9B5F-0FC91F64A1BD}">
  <dimension ref="A1:E76"/>
  <sheetViews>
    <sheetView topLeftCell="A61" workbookViewId="0">
      <selection activeCell="A2" sqref="A2:E75"/>
    </sheetView>
  </sheetViews>
  <sheetFormatPr defaultRowHeight="16.5" x14ac:dyDescent="0.3"/>
  <cols>
    <col min="1" max="1" width="29.625" customWidth="1"/>
    <col min="2" max="2" width="14.5" customWidth="1"/>
    <col min="3" max="3" width="79.75" customWidth="1"/>
    <col min="4" max="4" width="14.625" style="1" customWidth="1"/>
    <col min="5" max="5" width="21.375" style="1" customWidth="1"/>
  </cols>
  <sheetData>
    <row r="1" spans="1:5" x14ac:dyDescent="0.3">
      <c r="A1" t="s">
        <v>371</v>
      </c>
      <c r="B1" s="1" t="s">
        <v>365</v>
      </c>
      <c r="C1" s="1" t="s">
        <v>366</v>
      </c>
      <c r="D1" s="1" t="s">
        <v>368</v>
      </c>
      <c r="E1" s="1" t="s">
        <v>367</v>
      </c>
    </row>
    <row r="2" spans="1:5" x14ac:dyDescent="0.3">
      <c r="A2" t="s">
        <v>291</v>
      </c>
      <c r="B2" s="6" t="s">
        <v>375</v>
      </c>
      <c r="C2" t="s">
        <v>455</v>
      </c>
    </row>
    <row r="3" spans="1:5" x14ac:dyDescent="0.3">
      <c r="A3" t="s">
        <v>292</v>
      </c>
      <c r="B3" s="6"/>
      <c r="C3" t="s">
        <v>456</v>
      </c>
    </row>
    <row r="4" spans="1:5" x14ac:dyDescent="0.3">
      <c r="A4" t="s">
        <v>293</v>
      </c>
      <c r="B4" s="6"/>
      <c r="C4" t="s">
        <v>457</v>
      </c>
    </row>
    <row r="5" spans="1:5" x14ac:dyDescent="0.3">
      <c r="A5" t="s">
        <v>294</v>
      </c>
      <c r="B5" s="6"/>
      <c r="C5" t="s">
        <v>458</v>
      </c>
    </row>
    <row r="6" spans="1:5" x14ac:dyDescent="0.3">
      <c r="A6" t="s">
        <v>295</v>
      </c>
      <c r="B6" s="6"/>
      <c r="C6" t="s">
        <v>459</v>
      </c>
    </row>
    <row r="7" spans="1:5" x14ac:dyDescent="0.3">
      <c r="A7" t="s">
        <v>296</v>
      </c>
      <c r="B7" s="6"/>
      <c r="C7" t="s">
        <v>460</v>
      </c>
    </row>
    <row r="8" spans="1:5" x14ac:dyDescent="0.3">
      <c r="A8" t="s">
        <v>297</v>
      </c>
      <c r="B8" s="6"/>
      <c r="C8" t="s">
        <v>461</v>
      </c>
    </row>
    <row r="9" spans="1:5" x14ac:dyDescent="0.3">
      <c r="A9" t="s">
        <v>298</v>
      </c>
      <c r="B9" s="6"/>
      <c r="C9" t="s">
        <v>462</v>
      </c>
    </row>
    <row r="10" spans="1:5" x14ac:dyDescent="0.3">
      <c r="A10" t="s">
        <v>299</v>
      </c>
      <c r="B10" s="6"/>
      <c r="C10" t="s">
        <v>463</v>
      </c>
    </row>
    <row r="11" spans="1:5" x14ac:dyDescent="0.3">
      <c r="A11" t="s">
        <v>300</v>
      </c>
      <c r="B11" s="6"/>
      <c r="C11" t="s">
        <v>464</v>
      </c>
    </row>
    <row r="12" spans="1:5" x14ac:dyDescent="0.3">
      <c r="A12" t="s">
        <v>301</v>
      </c>
      <c r="B12" s="6"/>
      <c r="C12" t="s">
        <v>465</v>
      </c>
    </row>
    <row r="13" spans="1:5" x14ac:dyDescent="0.3">
      <c r="A13" t="s">
        <v>302</v>
      </c>
      <c r="B13" s="6"/>
      <c r="C13" t="s">
        <v>466</v>
      </c>
    </row>
    <row r="14" spans="1:5" x14ac:dyDescent="0.3">
      <c r="A14" t="s">
        <v>303</v>
      </c>
      <c r="B14" s="6"/>
      <c r="C14" t="s">
        <v>467</v>
      </c>
    </row>
    <row r="15" spans="1:5" x14ac:dyDescent="0.3">
      <c r="A15" t="s">
        <v>304</v>
      </c>
      <c r="B15" s="6"/>
      <c r="C15" t="s">
        <v>468</v>
      </c>
    </row>
    <row r="16" spans="1:5" x14ac:dyDescent="0.3">
      <c r="A16" t="s">
        <v>305</v>
      </c>
      <c r="B16" s="6"/>
      <c r="C16" t="s">
        <v>469</v>
      </c>
    </row>
    <row r="17" spans="1:3" x14ac:dyDescent="0.3">
      <c r="A17" t="s">
        <v>306</v>
      </c>
      <c r="B17" s="6"/>
      <c r="C17" t="s">
        <v>470</v>
      </c>
    </row>
    <row r="18" spans="1:3" x14ac:dyDescent="0.3">
      <c r="A18" t="s">
        <v>307</v>
      </c>
      <c r="B18" s="6"/>
      <c r="C18" t="s">
        <v>471</v>
      </c>
    </row>
    <row r="19" spans="1:3" x14ac:dyDescent="0.3">
      <c r="A19" t="s">
        <v>308</v>
      </c>
      <c r="B19" s="6"/>
      <c r="C19" t="s">
        <v>472</v>
      </c>
    </row>
    <row r="20" spans="1:3" x14ac:dyDescent="0.3">
      <c r="A20" t="s">
        <v>309</v>
      </c>
      <c r="B20" s="6"/>
      <c r="C20" t="s">
        <v>473</v>
      </c>
    </row>
    <row r="21" spans="1:3" x14ac:dyDescent="0.3">
      <c r="A21" t="s">
        <v>310</v>
      </c>
      <c r="B21" s="6"/>
      <c r="C21" t="s">
        <v>474</v>
      </c>
    </row>
    <row r="22" spans="1:3" x14ac:dyDescent="0.3">
      <c r="A22" t="s">
        <v>311</v>
      </c>
      <c r="B22" s="6"/>
      <c r="C22" t="s">
        <v>475</v>
      </c>
    </row>
    <row r="23" spans="1:3" x14ac:dyDescent="0.3">
      <c r="A23" t="s">
        <v>312</v>
      </c>
      <c r="B23" s="6"/>
      <c r="C23" t="s">
        <v>476</v>
      </c>
    </row>
    <row r="24" spans="1:3" x14ac:dyDescent="0.3">
      <c r="A24" t="s">
        <v>313</v>
      </c>
      <c r="B24" s="6"/>
      <c r="C24" t="s">
        <v>477</v>
      </c>
    </row>
    <row r="25" spans="1:3" x14ac:dyDescent="0.3">
      <c r="A25" t="s">
        <v>314</v>
      </c>
      <c r="B25" s="6"/>
      <c r="C25" t="s">
        <v>478</v>
      </c>
    </row>
    <row r="26" spans="1:3" x14ac:dyDescent="0.3">
      <c r="A26" t="s">
        <v>315</v>
      </c>
      <c r="B26" s="6"/>
      <c r="C26" t="s">
        <v>479</v>
      </c>
    </row>
    <row r="27" spans="1:3" x14ac:dyDescent="0.3">
      <c r="A27" t="s">
        <v>316</v>
      </c>
      <c r="B27" s="6"/>
      <c r="C27" t="s">
        <v>480</v>
      </c>
    </row>
    <row r="28" spans="1:3" x14ac:dyDescent="0.3">
      <c r="A28" t="s">
        <v>317</v>
      </c>
      <c r="B28" s="6"/>
      <c r="C28" t="s">
        <v>481</v>
      </c>
    </row>
    <row r="29" spans="1:3" x14ac:dyDescent="0.3">
      <c r="A29" t="s">
        <v>318</v>
      </c>
      <c r="B29" s="6"/>
      <c r="C29" t="s">
        <v>482</v>
      </c>
    </row>
    <row r="30" spans="1:3" x14ac:dyDescent="0.3">
      <c r="A30" t="s">
        <v>319</v>
      </c>
      <c r="B30" s="6"/>
      <c r="C30" t="s">
        <v>483</v>
      </c>
    </row>
    <row r="31" spans="1:3" x14ac:dyDescent="0.3">
      <c r="A31" t="s">
        <v>320</v>
      </c>
      <c r="B31" s="6"/>
      <c r="C31" t="s">
        <v>484</v>
      </c>
    </row>
    <row r="32" spans="1:3" x14ac:dyDescent="0.3">
      <c r="A32" t="s">
        <v>321</v>
      </c>
      <c r="B32" s="6"/>
      <c r="C32" t="s">
        <v>485</v>
      </c>
    </row>
    <row r="33" spans="1:4" x14ac:dyDescent="0.3">
      <c r="A33" t="s">
        <v>322</v>
      </c>
      <c r="B33" s="6"/>
      <c r="C33" t="s">
        <v>486</v>
      </c>
    </row>
    <row r="34" spans="1:4" x14ac:dyDescent="0.3">
      <c r="A34" t="s">
        <v>323</v>
      </c>
      <c r="B34" s="6"/>
      <c r="C34" t="s">
        <v>487</v>
      </c>
    </row>
    <row r="35" spans="1:4" x14ac:dyDescent="0.3">
      <c r="A35" t="s">
        <v>324</v>
      </c>
      <c r="B35" s="6"/>
      <c r="C35" s="11" t="s">
        <v>488</v>
      </c>
      <c r="D35" s="1" t="s">
        <v>489</v>
      </c>
    </row>
    <row r="36" spans="1:4" x14ac:dyDescent="0.3">
      <c r="A36" t="s">
        <v>325</v>
      </c>
      <c r="B36" s="6"/>
      <c r="C36" t="s">
        <v>490</v>
      </c>
    </row>
    <row r="37" spans="1:4" x14ac:dyDescent="0.3">
      <c r="A37" t="s">
        <v>326</v>
      </c>
      <c r="B37" s="6"/>
      <c r="C37" t="s">
        <v>491</v>
      </c>
    </row>
    <row r="38" spans="1:4" x14ac:dyDescent="0.3">
      <c r="A38" t="s">
        <v>327</v>
      </c>
      <c r="B38" s="6"/>
      <c r="C38" t="s">
        <v>492</v>
      </c>
    </row>
    <row r="39" spans="1:4" x14ac:dyDescent="0.3">
      <c r="A39" t="s">
        <v>328</v>
      </c>
      <c r="B39" s="6"/>
      <c r="C39" t="s">
        <v>493</v>
      </c>
    </row>
    <row r="40" spans="1:4" x14ac:dyDescent="0.3">
      <c r="A40" t="s">
        <v>329</v>
      </c>
      <c r="B40" s="6"/>
      <c r="C40" t="s">
        <v>494</v>
      </c>
    </row>
    <row r="41" spans="1:4" x14ac:dyDescent="0.3">
      <c r="A41" t="s">
        <v>330</v>
      </c>
      <c r="B41" s="6"/>
      <c r="C41" t="s">
        <v>495</v>
      </c>
    </row>
    <row r="42" spans="1:4" x14ac:dyDescent="0.3">
      <c r="A42" t="s">
        <v>331</v>
      </c>
      <c r="B42" s="6"/>
      <c r="C42" t="s">
        <v>496</v>
      </c>
    </row>
    <row r="43" spans="1:4" x14ac:dyDescent="0.3">
      <c r="A43" t="s">
        <v>332</v>
      </c>
      <c r="B43" s="6"/>
      <c r="C43" t="s">
        <v>497</v>
      </c>
    </row>
    <row r="44" spans="1:4" x14ac:dyDescent="0.3">
      <c r="A44" t="s">
        <v>333</v>
      </c>
      <c r="B44" s="6"/>
      <c r="C44" t="s">
        <v>498</v>
      </c>
    </row>
    <row r="45" spans="1:4" x14ac:dyDescent="0.3">
      <c r="A45" t="s">
        <v>334</v>
      </c>
      <c r="B45" s="6"/>
      <c r="C45" t="s">
        <v>499</v>
      </c>
    </row>
    <row r="46" spans="1:4" x14ac:dyDescent="0.3">
      <c r="A46" t="s">
        <v>335</v>
      </c>
      <c r="B46" s="6"/>
      <c r="C46" t="s">
        <v>500</v>
      </c>
    </row>
    <row r="47" spans="1:4" x14ac:dyDescent="0.3">
      <c r="A47" t="s">
        <v>336</v>
      </c>
      <c r="B47" s="6"/>
      <c r="C47" t="s">
        <v>501</v>
      </c>
    </row>
    <row r="48" spans="1:4" x14ac:dyDescent="0.3">
      <c r="A48" t="s">
        <v>337</v>
      </c>
      <c r="B48" s="6"/>
      <c r="C48" t="s">
        <v>502</v>
      </c>
    </row>
    <row r="49" spans="1:3" x14ac:dyDescent="0.3">
      <c r="A49" t="s">
        <v>338</v>
      </c>
      <c r="B49" s="6"/>
      <c r="C49" t="s">
        <v>503</v>
      </c>
    </row>
    <row r="50" spans="1:3" x14ac:dyDescent="0.3">
      <c r="A50" t="s">
        <v>339</v>
      </c>
      <c r="B50" s="6"/>
      <c r="C50" t="s">
        <v>504</v>
      </c>
    </row>
    <row r="51" spans="1:3" x14ac:dyDescent="0.3">
      <c r="A51" t="s">
        <v>340</v>
      </c>
      <c r="B51" s="6"/>
      <c r="C51" t="s">
        <v>505</v>
      </c>
    </row>
    <row r="52" spans="1:3" x14ac:dyDescent="0.3">
      <c r="A52" t="s">
        <v>341</v>
      </c>
      <c r="B52" s="6"/>
      <c r="C52" t="s">
        <v>506</v>
      </c>
    </row>
    <row r="53" spans="1:3" x14ac:dyDescent="0.3">
      <c r="A53" t="s">
        <v>342</v>
      </c>
      <c r="B53" s="6"/>
      <c r="C53" t="s">
        <v>507</v>
      </c>
    </row>
    <row r="54" spans="1:3" x14ac:dyDescent="0.3">
      <c r="A54" t="s">
        <v>343</v>
      </c>
      <c r="B54" s="6"/>
      <c r="C54" t="s">
        <v>508</v>
      </c>
    </row>
    <row r="55" spans="1:3" x14ac:dyDescent="0.3">
      <c r="A55" t="s">
        <v>344</v>
      </c>
      <c r="B55" s="6"/>
      <c r="C55" t="s">
        <v>509</v>
      </c>
    </row>
    <row r="56" spans="1:3" x14ac:dyDescent="0.3">
      <c r="A56" t="s">
        <v>345</v>
      </c>
      <c r="B56" s="6"/>
      <c r="C56" t="s">
        <v>510</v>
      </c>
    </row>
    <row r="57" spans="1:3" x14ac:dyDescent="0.3">
      <c r="A57" t="s">
        <v>346</v>
      </c>
      <c r="B57" s="6"/>
      <c r="C57" t="s">
        <v>511</v>
      </c>
    </row>
    <row r="58" spans="1:3" x14ac:dyDescent="0.3">
      <c r="A58" t="s">
        <v>347</v>
      </c>
      <c r="B58" s="6"/>
      <c r="C58" t="s">
        <v>512</v>
      </c>
    </row>
    <row r="59" spans="1:3" x14ac:dyDescent="0.3">
      <c r="A59" t="s">
        <v>348</v>
      </c>
      <c r="B59" s="6"/>
      <c r="C59" t="s">
        <v>513</v>
      </c>
    </row>
    <row r="60" spans="1:3" x14ac:dyDescent="0.3">
      <c r="A60" t="s">
        <v>349</v>
      </c>
      <c r="B60" s="6"/>
      <c r="C60" t="s">
        <v>514</v>
      </c>
    </row>
    <row r="61" spans="1:3" x14ac:dyDescent="0.3">
      <c r="A61" t="s">
        <v>350</v>
      </c>
      <c r="B61" s="6"/>
      <c r="C61" t="s">
        <v>515</v>
      </c>
    </row>
    <row r="62" spans="1:3" x14ac:dyDescent="0.3">
      <c r="A62" t="s">
        <v>351</v>
      </c>
      <c r="B62" s="6"/>
      <c r="C62" t="s">
        <v>516</v>
      </c>
    </row>
    <row r="63" spans="1:3" x14ac:dyDescent="0.3">
      <c r="A63" t="s">
        <v>352</v>
      </c>
      <c r="B63" s="6"/>
      <c r="C63" t="s">
        <v>517</v>
      </c>
    </row>
    <row r="64" spans="1:3" x14ac:dyDescent="0.3">
      <c r="A64" t="s">
        <v>353</v>
      </c>
      <c r="B64" s="6"/>
      <c r="C64" t="s">
        <v>518</v>
      </c>
    </row>
    <row r="65" spans="1:4" x14ac:dyDescent="0.3">
      <c r="A65" t="s">
        <v>354</v>
      </c>
      <c r="B65" s="6"/>
      <c r="C65" t="s">
        <v>519</v>
      </c>
    </row>
    <row r="66" spans="1:4" x14ac:dyDescent="0.3">
      <c r="A66" t="s">
        <v>355</v>
      </c>
      <c r="B66" s="6"/>
      <c r="C66" t="s">
        <v>520</v>
      </c>
    </row>
    <row r="67" spans="1:4" x14ac:dyDescent="0.3">
      <c r="A67" t="s">
        <v>356</v>
      </c>
      <c r="B67" s="6"/>
      <c r="C67" t="s">
        <v>521</v>
      </c>
    </row>
    <row r="68" spans="1:4" x14ac:dyDescent="0.3">
      <c r="A68" t="s">
        <v>357</v>
      </c>
      <c r="B68" s="6"/>
      <c r="C68" t="s">
        <v>522</v>
      </c>
    </row>
    <row r="69" spans="1:4" x14ac:dyDescent="0.3">
      <c r="A69" t="s">
        <v>358</v>
      </c>
      <c r="B69" s="6"/>
      <c r="C69" t="s">
        <v>523</v>
      </c>
    </row>
    <row r="70" spans="1:4" x14ac:dyDescent="0.3">
      <c r="A70" t="s">
        <v>359</v>
      </c>
      <c r="B70" s="6"/>
      <c r="C70" t="s">
        <v>524</v>
      </c>
    </row>
    <row r="71" spans="1:4" x14ac:dyDescent="0.3">
      <c r="A71" t="s">
        <v>360</v>
      </c>
      <c r="B71" s="6"/>
      <c r="C71" t="s">
        <v>525</v>
      </c>
    </row>
    <row r="72" spans="1:4" x14ac:dyDescent="0.3">
      <c r="A72" t="s">
        <v>361</v>
      </c>
      <c r="B72" s="6"/>
      <c r="C72" t="s">
        <v>526</v>
      </c>
    </row>
    <row r="73" spans="1:4" x14ac:dyDescent="0.3">
      <c r="A73" t="s">
        <v>362</v>
      </c>
      <c r="B73" s="6"/>
      <c r="C73" t="s">
        <v>527</v>
      </c>
    </row>
    <row r="74" spans="1:4" x14ac:dyDescent="0.3">
      <c r="A74" t="s">
        <v>363</v>
      </c>
      <c r="B74" s="6"/>
      <c r="C74" t="s">
        <v>528</v>
      </c>
    </row>
    <row r="75" spans="1:4" x14ac:dyDescent="0.3">
      <c r="A75" s="12" t="s">
        <v>364</v>
      </c>
      <c r="B75" s="6"/>
      <c r="C75" s="12" t="s">
        <v>529</v>
      </c>
      <c r="D75" s="1" t="s">
        <v>489</v>
      </c>
    </row>
    <row r="76" spans="1:4" x14ac:dyDescent="0.3">
      <c r="D76" s="1">
        <f>COUNTIF(D2:D75,"=Y")</f>
        <v>0</v>
      </c>
    </row>
  </sheetData>
  <mergeCells count="1">
    <mergeCell ref="B2:B7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통합 데이터 분석</vt:lpstr>
      <vt:lpstr>EJM</vt:lpstr>
      <vt:lpstr>KJH</vt:lpstr>
      <vt:lpstr>LKJ</vt:lpstr>
      <vt:lpstr>LSJ</vt:lpstr>
      <vt:lpstr>YJH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</dc:creator>
  <cp:lastModifiedBy>tj</cp:lastModifiedBy>
  <dcterms:created xsi:type="dcterms:W3CDTF">2025-11-18T07:59:10Z</dcterms:created>
  <dcterms:modified xsi:type="dcterms:W3CDTF">2025-11-20T10:07:18Z</dcterms:modified>
</cp:coreProperties>
</file>