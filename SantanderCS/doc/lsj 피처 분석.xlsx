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ata\"/>
    </mc:Choice>
  </mc:AlternateContent>
  <xr:revisionPtr revIDLastSave="0" documentId="8_{9A28010C-0242-45CA-8103-FA3A3387B928}" xr6:coauthVersionLast="47" xr6:coauthVersionMax="47" xr10:uidLastSave="{00000000-0000-0000-0000-000000000000}"/>
  <bookViews>
    <workbookView xWindow="14400" yWindow="0" windowWidth="14400" windowHeight="15600" activeTab="3" xr2:uid="{AD4817E5-F76A-4F89-867E-BD8F107C32DF}"/>
  </bookViews>
  <sheets>
    <sheet name="EJM" sheetId="1" r:id="rId1"/>
    <sheet name="KJH" sheetId="2" r:id="rId2"/>
    <sheet name="LKJ" sheetId="4" r:id="rId3"/>
    <sheet name="LSJ" sheetId="5" r:id="rId4"/>
    <sheet name="YJ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5" l="1"/>
  <c r="G4" i="1"/>
  <c r="D76" i="2"/>
  <c r="D76" i="1"/>
  <c r="D76" i="6"/>
  <c r="D76" i="5"/>
  <c r="G2" i="5" s="1"/>
  <c r="D76" i="4"/>
  <c r="G2" i="1" l="1"/>
</calcChain>
</file>

<file path=xl/sharedStrings.xml><?xml version="1.0" encoding="utf-8"?>
<sst xmlns="http://schemas.openxmlformats.org/spreadsheetml/2006/main" count="539" uniqueCount="466">
  <si>
    <t>ID</t>
  </si>
  <si>
    <t>var3</t>
  </si>
  <si>
    <t>var15</t>
  </si>
  <si>
    <t>imp_ent_var16_ult1</t>
  </si>
  <si>
    <t>imp_op_var39_comer_ult1</t>
  </si>
  <si>
    <t>imp_op_var39_comer_ult3</t>
  </si>
  <si>
    <t>imp_op_var40_comer_ult1</t>
  </si>
  <si>
    <t>imp_op_var40_comer_ult3</t>
  </si>
  <si>
    <t>imp_op_var40_efect_ult1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</si>
  <si>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</si>
  <si>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</si>
  <si>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</si>
  <si>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</si>
  <si>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</si>
  <si>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</si>
  <si>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</si>
  <si>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</si>
  <si>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</si>
  <si>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</si>
  <si>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imp_sal_var16_ult1</t>
  </si>
  <si>
    <t>ind_var1_0</t>
  </si>
  <si>
    <t>ind_var1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</si>
  <si>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</si>
  <si>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</si>
  <si>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</si>
  <si>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</si>
  <si>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</si>
  <si>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</si>
  <si>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</si>
  <si>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</si>
  <si>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</si>
  <si>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</si>
  <si>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</si>
  <si>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ind_var13_corto_0</t>
  </si>
  <si>
    <t>ind_var13_corto</t>
  </si>
  <si>
    <t>ind_var13_largo_0</t>
  </si>
  <si>
    <t>ind_var13_largo</t>
  </si>
  <si>
    <t>ind_var13_medio_0</t>
  </si>
  <si>
    <t>ind_var13_medio</t>
  </si>
  <si>
    <t>ind_var13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</si>
  <si>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</si>
  <si>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</si>
  <si>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</si>
  <si>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</si>
  <si>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</si>
  <si>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</si>
  <si>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</si>
  <si>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</si>
  <si>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</si>
  <si>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</si>
  <si>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</si>
  <si>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</si>
  <si>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</si>
  <si>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ind_var26_cte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</si>
  <si>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</si>
  <si>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</si>
  <si>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</si>
  <si>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</si>
  <si>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</si>
  <si>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</si>
  <si>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</si>
  <si>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</si>
  <si>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ind_var29</t>
  </si>
  <si>
    <t>ind_var30_0</t>
  </si>
  <si>
    <t>ind_var30</t>
  </si>
  <si>
    <t>ind_var31_0</t>
  </si>
  <si>
    <t>ind_var31</t>
  </si>
  <si>
    <t>ind_var32_cte</t>
  </si>
  <si>
    <t>ind_var32_0</t>
  </si>
  <si>
    <t>ind_var32</t>
  </si>
  <si>
    <t>ind_var33_0</t>
  </si>
  <si>
    <t>ind_var33</t>
  </si>
  <si>
    <t>ind_var34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</si>
  <si>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</si>
  <si>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</si>
  <si>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</si>
  <si>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</si>
  <si>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</si>
  <si>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</si>
  <si>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</si>
  <si>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</si>
  <si>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</si>
  <si>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</si>
  <si>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</si>
  <si>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</si>
  <si>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</si>
  <si>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</si>
  <si>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</si>
  <si>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</si>
  <si>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</si>
  <si>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</si>
  <si>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</si>
  <si>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</si>
  <si>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</si>
  <si>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</si>
  <si>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</si>
  <si>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</si>
  <si>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</si>
  <si>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</si>
  <si>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</si>
  <si>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</si>
  <si>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</si>
  <si>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</si>
  <si>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</si>
  <si>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</si>
  <si>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</si>
  <si>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</si>
  <si>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</si>
  <si>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</si>
  <si>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</si>
  <si>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</si>
  <si>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</si>
  <si>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</si>
  <si>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</si>
  <si>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</si>
  <si>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</si>
  <si>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</si>
  <si>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</si>
  <si>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</si>
  <si>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</si>
  <si>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</si>
  <si>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</si>
  <si>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</si>
  <si>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</si>
  <si>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</si>
  <si>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</si>
  <si>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</si>
  <si>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</si>
  <si>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</si>
  <si>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</si>
  <si>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</si>
  <si>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</si>
  <si>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</si>
  <si>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</si>
  <si>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</si>
  <si>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</si>
  <si>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</si>
  <si>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</si>
  <si>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</si>
  <si>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</si>
  <si>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</si>
  <si>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</si>
  <si>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</si>
  <si>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</si>
  <si>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</si>
  <si>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</si>
  <si>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</si>
  <si>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</si>
  <si>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</si>
  <si>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</si>
  <si>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</si>
  <si>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</si>
  <si>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</si>
  <si>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</si>
  <si>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</si>
  <si>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</si>
  <si>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</si>
  <si>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</si>
  <si>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</si>
  <si>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</si>
  <si>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</si>
  <si>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</si>
  <si>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</si>
  <si>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</si>
  <si>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</si>
  <si>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</si>
  <si>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</si>
  <si>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</si>
  <si>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</si>
  <si>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</si>
  <si>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</si>
  <si>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</si>
  <si>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</si>
  <si>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</si>
  <si>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</si>
  <si>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</si>
  <si>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</si>
  <si>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</si>
  <si>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</si>
  <si>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</si>
  <si>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</si>
  <si>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</si>
  <si>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</si>
  <si>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</si>
  <si>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</si>
  <si>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</si>
  <si>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</si>
  <si>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</si>
  <si>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</si>
  <si>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</si>
  <si>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</si>
  <si>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</si>
  <si>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</si>
  <si>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</si>
  <si>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</si>
  <si>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</si>
  <si>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</si>
  <si>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</si>
  <si>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</si>
  <si>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</si>
  <si>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</si>
  <si>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</si>
  <si>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</si>
  <si>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</si>
  <si>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</si>
  <si>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</si>
  <si>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</si>
  <si>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</si>
  <si>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</si>
  <si>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</si>
  <si>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</si>
  <si>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</si>
  <si>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</si>
  <si>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</si>
  <si>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</si>
  <si>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</si>
  <si>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</si>
  <si>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</si>
  <si>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</si>
  <si>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</si>
  <si>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</si>
  <si>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imp_amort_var34_hace3</t>
  </si>
  <si>
    <t>imp_amort_var34_ult1</t>
  </si>
  <si>
    <t>imp_aport_var13_hace3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</si>
  <si>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</si>
  <si>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</si>
  <si>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</si>
  <si>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</si>
  <si>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</si>
  <si>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</si>
  <si>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</si>
  <si>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</si>
  <si>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</si>
  <si>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</si>
  <si>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</si>
  <si>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</si>
  <si>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</si>
  <si>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</si>
  <si>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</si>
  <si>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</si>
  <si>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</si>
  <si>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</si>
  <si>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</si>
  <si>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</si>
  <si>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</si>
  <si>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</si>
  <si>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</si>
  <si>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</si>
  <si>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</si>
  <si>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</si>
  <si>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</si>
  <si>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</si>
  <si>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</si>
  <si>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</si>
  <si>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</si>
  <si>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</si>
  <si>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</si>
  <si>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</si>
  <si>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</si>
  <si>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</si>
  <si>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</si>
  <si>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</si>
  <si>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</si>
  <si>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</si>
  <si>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</si>
  <si>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</si>
  <si>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</si>
  <si>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</si>
  <si>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</si>
  <si>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</si>
  <si>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</si>
  <si>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</si>
  <si>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</si>
  <si>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</si>
  <si>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</si>
  <si>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</si>
  <si>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</si>
  <si>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</si>
  <si>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</si>
  <si>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</si>
  <si>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</si>
  <si>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</si>
  <si>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</si>
  <si>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</si>
  <si>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</si>
  <si>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</si>
  <si>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</si>
  <si>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</si>
  <si>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</si>
  <si>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</si>
  <si>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</si>
  <si>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</si>
  <si>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</si>
  <si>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</si>
  <si>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</si>
  <si>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</si>
  <si>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</si>
  <si>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</si>
  <si>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</si>
  <si>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</si>
  <si>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</si>
  <si>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</si>
  <si>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</si>
  <si>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</si>
  <si>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</si>
  <si>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</si>
  <si>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</si>
  <si>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</si>
  <si>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</si>
  <si>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</si>
  <si>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</si>
  <si>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</si>
  <si>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</si>
  <si>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</si>
  <si>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</si>
  <si>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</si>
  <si>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</si>
  <si>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</si>
  <si>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</si>
  <si>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</si>
  <si>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</si>
  <si>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</si>
  <si>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</si>
  <si>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</si>
  <si>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</si>
  <si>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</si>
  <si>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</si>
  <si>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</si>
  <si>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</si>
  <si>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</si>
  <si>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</si>
  <si>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</si>
  <si>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</si>
  <si>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</si>
  <si>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</si>
  <si>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</si>
  <si>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</si>
  <si>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</si>
  <si>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</si>
  <si>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</si>
  <si>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</si>
  <si>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</si>
  <si>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</si>
  <si>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</si>
  <si>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</si>
  <si>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</si>
  <si>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</si>
  <si>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</si>
  <si>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</si>
  <si>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</si>
  <si>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</si>
  <si>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</si>
  <si>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</si>
  <si>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</si>
  <si>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</si>
  <si>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</si>
  <si>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</si>
  <si>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</si>
  <si>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</si>
  <si>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</si>
  <si>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</si>
  <si>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</si>
  <si>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</si>
  <si>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</si>
  <si>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</si>
  <si>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</si>
  <si>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</si>
  <si>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</si>
  <si>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</si>
  <si>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</si>
  <si>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</si>
  <si>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</si>
  <si>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</si>
  <si>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</si>
  <si>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</si>
  <si>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</si>
  <si>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</si>
  <si>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</si>
  <si>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</si>
  <si>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>fillna할 피터수</t>
    <phoneticPr fontId="2" type="noConversion"/>
  </si>
  <si>
    <t>imp_amort_var18_ult1</t>
    <phoneticPr fontId="2" type="noConversion"/>
  </si>
  <si>
    <t>삭제 피처 수</t>
    <phoneticPr fontId="2" type="noConversion"/>
  </si>
  <si>
    <t>imp_trasp_var33_in_ult1</t>
    <phoneticPr fontId="2" type="noConversion"/>
  </si>
  <si>
    <t>imp_trasp_var33_out_hace3</t>
    <phoneticPr fontId="2" type="noConversion"/>
  </si>
  <si>
    <t>데이터가 전부 0</t>
    <phoneticPr fontId="2" type="noConversion"/>
  </si>
  <si>
    <t>- var15 = 나이</t>
  </si>
  <si>
    <t>- var38 = 주거래상품 잔액</t>
  </si>
  <si>
    <t>- imp : 거래 금액</t>
  </si>
  <si>
    <t>- num_ : 거래 횟수</t>
  </si>
  <si>
    <t>- ent : 입금</t>
  </si>
  <si>
    <t>- op  : 거래</t>
  </si>
  <si>
    <t>- comer : 상업 가맹점</t>
  </si>
  <si>
    <t>- efect : 현금</t>
  </si>
  <si>
    <t>- saldo : 잔액</t>
  </si>
  <si>
    <t>- saldo_medio : 평균 잔액</t>
  </si>
  <si>
    <t>3개월 전 var33 입금 금액</t>
  </si>
  <si>
    <t>최근 기간 var33 입금 금액</t>
  </si>
  <si>
    <t>최근 기간 var7 관련 송금(보낸 금액)</t>
  </si>
  <si>
    <t>최근 기간 var44 구매 금액</t>
  </si>
  <si>
    <t>최근 기간 var13 환불 금액</t>
  </si>
  <si>
    <t>3개월 전 var17 환불 금액</t>
  </si>
  <si>
    <t>최근 기간 var33 환불 금액</t>
  </si>
  <si>
    <t>최근 기간 var43 송금(보낸 금액)</t>
  </si>
  <si>
    <t>최근 기간 var37 이체 금액</t>
  </si>
  <si>
    <t>최근 기간 var17 자산 이동 유입 금액</t>
  </si>
  <si>
    <t>최근 기간 var33 자산 이동 유입 금액</t>
  </si>
  <si>
    <t>최근 기간 var33 자산 이동 유출 금액</t>
  </si>
  <si>
    <t>3개월 전 var44 판매 금액</t>
  </si>
  <si>
    <t>→ 최근 기간 var18 대출 상환 금액</t>
  </si>
  <si>
    <t>→ 3개월 전 var44 판매 금액</t>
  </si>
  <si>
    <t>→ 최근 기간 var44 판매 금액</t>
  </si>
  <si>
    <t>최근 기간 var17 입금 금액</t>
    <phoneticPr fontId="2" type="noConversion"/>
  </si>
  <si>
    <t>최근 기간 var7 관련 수신(받은 금액)</t>
  </si>
  <si>
    <t>3개월 전 var44 구매 금액</t>
  </si>
  <si>
    <t>최근 기간 var17 환불 금액</t>
    <phoneticPr fontId="2" type="noConversion"/>
  </si>
  <si>
    <t>3개월 전 var17 자산 이동 유입(in) 금액</t>
    <phoneticPr fontId="2" type="noConversion"/>
  </si>
  <si>
    <t>최근 기간 var17 자산 이동 유출(out) 금액</t>
  </si>
  <si>
    <t>3개월 전 var33 자산 이동 유입 금액</t>
    <phoneticPr fontId="2" type="noConversion"/>
  </si>
  <si>
    <t xml:space="preserve"> 최근 기간 var44 판매 금액</t>
    <phoneticPr fontId="2" type="noConversion"/>
  </si>
  <si>
    <t>최근 기간 var7 송금 기능 사용 여부(1/0)</t>
    <phoneticPr fontId="2" type="noConversion"/>
  </si>
  <si>
    <t>최근 기간 var7 수신 기능 사용 여부(1/0)</t>
    <phoneticPr fontId="2" type="noConversion"/>
  </si>
  <si>
    <t>최근 기간 var10 상품 보유 여부</t>
  </si>
  <si>
    <t>최근 기간 var10 계좌(당좌/체크) 보유 여부</t>
  </si>
  <si>
    <t>최근 기간 var9 계좌 보유 여부</t>
  </si>
  <si>
    <t>최근 기간 var9 상품 보유 여부</t>
  </si>
  <si>
    <t>최근 기간 var43 송금 기능 사용 여부</t>
  </si>
  <si>
    <t>최근 기간 var43 수신 기능 사용 여부</t>
  </si>
  <si>
    <t>3개월 전 var13 입금 횟수</t>
    <phoneticPr fontId="2" type="noConversion"/>
  </si>
  <si>
    <t>최근 기간 var13 입금 횟수</t>
    <phoneticPr fontId="2" type="noConversion"/>
  </si>
  <si>
    <t>3개월 전 var17 입금 횟수</t>
  </si>
  <si>
    <t>최근 기간 var17 입금 횟수</t>
  </si>
  <si>
    <t>3개월 전 var33 입금 횟수</t>
  </si>
  <si>
    <t>최근 기간 var33 입금 횟수</t>
  </si>
  <si>
    <t>최근 기간 var7 송금 횟수</t>
  </si>
  <si>
    <t>최근 기간 var7 수신 횟수</t>
  </si>
  <si>
    <t>3개월 전 var44 구매 횟수</t>
  </si>
  <si>
    <t>최근 기간 var44 구매 횟수</t>
  </si>
  <si>
    <t>3개월 전 var17 입금 금액</t>
    <phoneticPr fontId="2" type="noConversion"/>
  </si>
  <si>
    <t>최근 기간 var18 대출 상환 금액/ 76018</t>
    <phoneticPr fontId="2" type="noConversion"/>
  </si>
  <si>
    <r>
      <t>최근 기간 var34 대출 상환 금액/</t>
    </r>
    <r>
      <rPr>
        <b/>
        <sz val="11"/>
        <color theme="1"/>
        <rFont val="맑은 고딕"/>
        <family val="3"/>
        <charset val="129"/>
        <scheme val="minor"/>
      </rPr>
      <t>76018</t>
    </r>
    <phoneticPr fontId="2" type="noConversion"/>
  </si>
  <si>
    <t>3개월 전 var13 입금/불입 금액</t>
    <phoneticPr fontId="2" type="noConversion"/>
  </si>
  <si>
    <t>최근 기간 var13 입금/불입 금액/75619</t>
    <phoneticPr fontId="2" type="noConversion"/>
  </si>
  <si>
    <t>imp_var43_emit_ult1</t>
    <phoneticPr fontId="2" type="noConversion"/>
  </si>
  <si>
    <t>최근 3개월 var40 상업 거래 횟수/75672</t>
    <phoneticPr fontId="2" type="noConversion"/>
  </si>
  <si>
    <t>최근 기간 var40 상업 거래 횟수/75725</t>
    <phoneticPr fontId="2" type="noConversion"/>
  </si>
  <si>
    <t>최근 3개월 var39 상업 거래 횟수/64330</t>
    <phoneticPr fontId="2" type="noConversion"/>
  </si>
  <si>
    <t>최근 기간 var39 관련 상업 거래 횟수/66075</t>
    <phoneticPr fontId="2" type="noConversion"/>
  </si>
  <si>
    <t>최근 3개월 동안 var44 이용 월수/75877</t>
    <phoneticPr fontId="2" type="noConversion"/>
  </si>
  <si>
    <t>최근 3개월 동안 var39 활성(유효) 월수/10164</t>
    <phoneticPr fontId="2" type="noConversion"/>
  </si>
  <si>
    <t>최근 3개월 동안 var33 이용 월수/75972</t>
    <phoneticPr fontId="2" type="noConversion"/>
  </si>
  <si>
    <t>최근 3개월 동안 var29 이용 월수/76015</t>
    <phoneticPr fontId="2" type="noConversion"/>
  </si>
  <si>
    <t>최근 3개월 동안 var17 이용 월수/75897</t>
    <phoneticPr fontId="2" type="noConversion"/>
  </si>
  <si>
    <t>최근 3개월 동안 var13 중기 상품 이용 월수/76018</t>
    <phoneticPr fontId="2" type="noConversion"/>
  </si>
  <si>
    <t>최근 3개월 동안 var13 장기 상품 이용 월수/75477</t>
    <phoneticPr fontId="2" type="noConversion"/>
  </si>
  <si>
    <t>최근 3개월 동안 var13 단기 상품 이용 월수/72760</t>
    <phoneticPr fontId="2" type="noConversion"/>
  </si>
  <si>
    <t>최근 3개월 동안 var12 이용 월수/72537</t>
    <phoneticPr fontId="2" type="noConversion"/>
  </si>
  <si>
    <t>최근 3개월 동안 var8 이용 월수/73805</t>
    <phoneticPr fontId="2" type="noConversion"/>
  </si>
  <si>
    <t>최근 3개월 동안 var5 이용 월수/20546</t>
    <phoneticPr fontId="2" type="noConversion"/>
  </si>
  <si>
    <t>최근 3개월 동안 var45 월평균 활동 횟수/51408</t>
    <phoneticPr fontId="2" type="noConversion"/>
  </si>
  <si>
    <t>최근 3개월 동안 var22 월평균 활동 횟수/64766</t>
    <phoneticPr fontId="2" type="noConversion"/>
  </si>
  <si>
    <t>최근 3개월 동안 var22 활동 총 횟수/49954</t>
    <phoneticPr fontId="2" type="noConversion"/>
  </si>
  <si>
    <t>최근 기간 var22 활동 횟수/67953</t>
    <phoneticPr fontId="2" type="noConversion"/>
  </si>
  <si>
    <t>3개월 전 var22 활동 횟수/61880</t>
    <phoneticPr fontId="2" type="noConversion"/>
  </si>
  <si>
    <t>2개월 전 var22 활동 횟수/60541</t>
    <phoneticPr fontId="2" type="noConversion"/>
  </si>
  <si>
    <t>최근 기간 var16 입고/예치 횟수/72301</t>
    <phoneticPr fontId="2" type="noConversion"/>
  </si>
  <si>
    <t>고객 관련 내부 코드/75152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</si>
</sst>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Consolas"/>
      <family val="3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workbookViewId="0">
      <selection activeCell="G2" sqref="G2"/>
    </sheetView>
  </sheetViews>
  <sheetFormatPr defaultRowHeight="16.5" x14ac:dyDescent="0.3"/>
  <cols>
    <col min="1" max="1" width="27.5" customWidth="1"/>
    <col min="2" max="2" width="14.375" customWidth="1"/>
    <col min="3" max="3" width="42.625" customWidth="1"/>
    <col min="4" max="4" width="14.625" style="1" customWidth="1"/>
    <col min="5" max="5" width="21.125" style="1" customWidth="1"/>
    <col min="7" max="7" width="14.375" style="1" customWidth="1"/>
    <col min="370" max="370" width="5.875" customWidth="1"/>
  </cols>
  <sheetData>
    <row r="1" spans="1:7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  <c r="G1" s="1" t="s">
        <v>377</v>
      </c>
    </row>
    <row r="2" spans="1:7" x14ac:dyDescent="0.3">
      <c r="A2" t="s">
        <v>0</v>
      </c>
      <c r="B2" s="8" t="s">
        <v>369</v>
      </c>
      <c r="C2" t="s">
        <v>378</v>
      </c>
      <c r="D2" s="1" t="s">
        <v>376</v>
      </c>
      <c r="G2" s="1">
        <f>SUM(D76,KJH!D76,LKJ!D76,LSJ!D76,YJH!D76)</f>
        <v>49</v>
      </c>
    </row>
    <row r="3" spans="1:7" x14ac:dyDescent="0.3">
      <c r="A3" t="s">
        <v>1</v>
      </c>
      <c r="B3" s="8"/>
      <c r="G3" s="1" t="s">
        <v>379</v>
      </c>
    </row>
    <row r="4" spans="1:7" x14ac:dyDescent="0.3">
      <c r="A4" t="s">
        <v>2</v>
      </c>
      <c r="B4" s="8"/>
      <c r="G4" s="1">
        <f>COUNTA(E2:E75,KJH!E2:E75,LKJ!E2:E75,LSJ!E2:E75,YJH!E2:E75)</f>
        <v>0</v>
      </c>
    </row>
    <row r="5" spans="1:7" x14ac:dyDescent="0.3">
      <c r="A5" t="s">
        <v>3</v>
      </c>
      <c r="B5" s="8"/>
    </row>
    <row r="6" spans="1:7" x14ac:dyDescent="0.3">
      <c r="A6" t="s">
        <v>4</v>
      </c>
      <c r="B6" s="8"/>
    </row>
    <row r="7" spans="1:7" x14ac:dyDescent="0.3">
      <c r="A7" t="s">
        <v>5</v>
      </c>
      <c r="B7" s="8"/>
    </row>
    <row r="8" spans="1:7" x14ac:dyDescent="0.3">
      <c r="A8" t="s">
        <v>6</v>
      </c>
      <c r="B8" s="8"/>
    </row>
    <row r="9" spans="1:7" x14ac:dyDescent="0.3">
      <c r="A9" t="s">
        <v>7</v>
      </c>
      <c r="B9" s="8"/>
    </row>
    <row r="10" spans="1:7" x14ac:dyDescent="0.3">
      <c r="A10" t="s">
        <v>8</v>
      </c>
      <c r="B10" s="8"/>
    </row>
    <row r="11" spans="1:7" x14ac:dyDescent="0.3">
      <c r="A11" t="s">
        <v>9</v>
      </c>
      <c r="B11" s="8"/>
    </row>
    <row r="12" spans="1:7" x14ac:dyDescent="0.3">
      <c r="A12" t="s">
        <v>10</v>
      </c>
      <c r="B12" s="8"/>
    </row>
    <row r="13" spans="1:7" x14ac:dyDescent="0.3">
      <c r="A13" t="s">
        <v>11</v>
      </c>
      <c r="B13" s="8"/>
    </row>
    <row r="14" spans="1:7" x14ac:dyDescent="0.3">
      <c r="A14" t="s">
        <v>12</v>
      </c>
      <c r="B14" s="8"/>
    </row>
    <row r="15" spans="1:7" x14ac:dyDescent="0.3">
      <c r="A15" t="s">
        <v>13</v>
      </c>
      <c r="B15" s="8"/>
    </row>
    <row r="16" spans="1:7" x14ac:dyDescent="0.3">
      <c r="A16" t="s">
        <v>14</v>
      </c>
      <c r="B16" s="8"/>
    </row>
    <row r="17" spans="1:2" x14ac:dyDescent="0.3">
      <c r="A17" t="s">
        <v>15</v>
      </c>
      <c r="B17" s="8"/>
    </row>
    <row r="18" spans="1:2" x14ac:dyDescent="0.3">
      <c r="A18" t="s">
        <v>16</v>
      </c>
      <c r="B18" s="8"/>
    </row>
    <row r="19" spans="1:2" x14ac:dyDescent="0.3">
      <c r="A19" t="s">
        <v>17</v>
      </c>
      <c r="B19" s="8"/>
    </row>
    <row r="20" spans="1:2" x14ac:dyDescent="0.3">
      <c r="A20" t="s">
        <v>18</v>
      </c>
      <c r="B20" s="8"/>
    </row>
    <row r="21" spans="1:2" x14ac:dyDescent="0.3">
      <c r="A21" t="s">
        <v>19</v>
      </c>
      <c r="B21" s="8"/>
    </row>
    <row r="22" spans="1:2" x14ac:dyDescent="0.3">
      <c r="A22" t="s">
        <v>20</v>
      </c>
      <c r="B22" s="8"/>
    </row>
    <row r="23" spans="1:2" x14ac:dyDescent="0.3">
      <c r="A23" t="s">
        <v>21</v>
      </c>
      <c r="B23" s="8"/>
    </row>
    <row r="24" spans="1:2" x14ac:dyDescent="0.3">
      <c r="A24" t="s">
        <v>22</v>
      </c>
      <c r="B24" s="8"/>
    </row>
    <row r="25" spans="1:2" x14ac:dyDescent="0.3">
      <c r="A25" t="s">
        <v>23</v>
      </c>
      <c r="B25" s="8"/>
    </row>
    <row r="26" spans="1:2" x14ac:dyDescent="0.3">
      <c r="A26" t="s">
        <v>24</v>
      </c>
      <c r="B26" s="8"/>
    </row>
    <row r="27" spans="1:2" x14ac:dyDescent="0.3">
      <c r="A27" t="s">
        <v>25</v>
      </c>
      <c r="B27" s="8"/>
    </row>
    <row r="28" spans="1:2" x14ac:dyDescent="0.3">
      <c r="A28" t="s">
        <v>26</v>
      </c>
      <c r="B28" s="8"/>
    </row>
    <row r="29" spans="1:2" x14ac:dyDescent="0.3">
      <c r="A29" t="s">
        <v>27</v>
      </c>
      <c r="B29" s="8"/>
    </row>
    <row r="30" spans="1:2" x14ac:dyDescent="0.3">
      <c r="A30" t="s">
        <v>28</v>
      </c>
      <c r="B30" s="8"/>
    </row>
    <row r="31" spans="1:2" x14ac:dyDescent="0.3">
      <c r="A31" t="s">
        <v>29</v>
      </c>
      <c r="B31" s="8"/>
    </row>
    <row r="32" spans="1:2" x14ac:dyDescent="0.3">
      <c r="A32" t="s">
        <v>30</v>
      </c>
      <c r="B32" s="8"/>
    </row>
    <row r="33" spans="1:2" x14ac:dyDescent="0.3">
      <c r="A33" t="s">
        <v>31</v>
      </c>
      <c r="B33" s="8"/>
    </row>
    <row r="34" spans="1:2" x14ac:dyDescent="0.3">
      <c r="A34" t="s">
        <v>32</v>
      </c>
      <c r="B34" s="8"/>
    </row>
    <row r="35" spans="1:2" x14ac:dyDescent="0.3">
      <c r="A35" t="s">
        <v>33</v>
      </c>
      <c r="B35" s="8"/>
    </row>
    <row r="36" spans="1:2" x14ac:dyDescent="0.3">
      <c r="A36" t="s">
        <v>34</v>
      </c>
      <c r="B36" s="8"/>
    </row>
    <row r="37" spans="1:2" x14ac:dyDescent="0.3">
      <c r="A37" t="s">
        <v>35</v>
      </c>
      <c r="B37" s="8"/>
    </row>
    <row r="38" spans="1:2" x14ac:dyDescent="0.3">
      <c r="A38" t="s">
        <v>36</v>
      </c>
      <c r="B38" s="8"/>
    </row>
    <row r="39" spans="1:2" x14ac:dyDescent="0.3">
      <c r="A39" t="s">
        <v>37</v>
      </c>
      <c r="B39" s="8"/>
    </row>
    <row r="40" spans="1:2" x14ac:dyDescent="0.3">
      <c r="A40" t="s">
        <v>38</v>
      </c>
      <c r="B40" s="8"/>
    </row>
    <row r="41" spans="1:2" x14ac:dyDescent="0.3">
      <c r="A41" t="s">
        <v>39</v>
      </c>
      <c r="B41" s="8"/>
    </row>
    <row r="42" spans="1:2" x14ac:dyDescent="0.3">
      <c r="A42" t="s">
        <v>40</v>
      </c>
      <c r="B42" s="8"/>
    </row>
    <row r="43" spans="1:2" x14ac:dyDescent="0.3">
      <c r="A43" t="s">
        <v>41</v>
      </c>
      <c r="B43" s="8"/>
    </row>
    <row r="44" spans="1:2" x14ac:dyDescent="0.3">
      <c r="A44" t="s">
        <v>42</v>
      </c>
      <c r="B44" s="8"/>
    </row>
    <row r="45" spans="1:2" x14ac:dyDescent="0.3">
      <c r="A45" t="s">
        <v>43</v>
      </c>
      <c r="B45" s="8"/>
    </row>
    <row r="46" spans="1:2" x14ac:dyDescent="0.3">
      <c r="A46" t="s">
        <v>44</v>
      </c>
      <c r="B46" s="8"/>
    </row>
    <row r="47" spans="1:2" x14ac:dyDescent="0.3">
      <c r="A47" t="s">
        <v>45</v>
      </c>
      <c r="B47" s="8"/>
    </row>
    <row r="48" spans="1:2" x14ac:dyDescent="0.3">
      <c r="A48" t="s">
        <v>46</v>
      </c>
      <c r="B48" s="8"/>
    </row>
    <row r="49" spans="1:2" x14ac:dyDescent="0.3">
      <c r="A49" t="s">
        <v>47</v>
      </c>
      <c r="B49" s="8"/>
    </row>
    <row r="50" spans="1:2" x14ac:dyDescent="0.3">
      <c r="A50" t="s">
        <v>48</v>
      </c>
      <c r="B50" s="8"/>
    </row>
    <row r="51" spans="1:2" x14ac:dyDescent="0.3">
      <c r="A51" t="s">
        <v>49</v>
      </c>
      <c r="B51" s="8"/>
    </row>
    <row r="52" spans="1:2" x14ac:dyDescent="0.3">
      <c r="A52" t="s">
        <v>50</v>
      </c>
      <c r="B52" s="8"/>
    </row>
    <row r="53" spans="1:2" x14ac:dyDescent="0.3">
      <c r="A53" t="s">
        <v>51</v>
      </c>
      <c r="B53" s="8"/>
    </row>
    <row r="54" spans="1:2" x14ac:dyDescent="0.3">
      <c r="A54" t="s">
        <v>52</v>
      </c>
      <c r="B54" s="8"/>
    </row>
    <row r="55" spans="1:2" x14ac:dyDescent="0.3">
      <c r="A55" t="s">
        <v>53</v>
      </c>
      <c r="B55" s="8"/>
    </row>
    <row r="56" spans="1:2" x14ac:dyDescent="0.3">
      <c r="A56" t="s">
        <v>54</v>
      </c>
      <c r="B56" s="8"/>
    </row>
    <row r="57" spans="1:2" x14ac:dyDescent="0.3">
      <c r="A57" t="s">
        <v>55</v>
      </c>
      <c r="B57" s="8"/>
    </row>
    <row r="58" spans="1:2" x14ac:dyDescent="0.3">
      <c r="A58" t="s">
        <v>56</v>
      </c>
      <c r="B58" s="8"/>
    </row>
    <row r="59" spans="1:2" x14ac:dyDescent="0.3">
      <c r="A59" t="s">
        <v>57</v>
      </c>
      <c r="B59" s="8"/>
    </row>
    <row r="60" spans="1:2" x14ac:dyDescent="0.3">
      <c r="A60" t="s">
        <v>58</v>
      </c>
      <c r="B60" s="8"/>
    </row>
    <row r="61" spans="1:2" x14ac:dyDescent="0.3">
      <c r="A61" t="s">
        <v>59</v>
      </c>
      <c r="B61" s="8"/>
    </row>
    <row r="62" spans="1:2" x14ac:dyDescent="0.3">
      <c r="A62" t="s">
        <v>60</v>
      </c>
      <c r="B62" s="8"/>
    </row>
    <row r="63" spans="1:2" x14ac:dyDescent="0.3">
      <c r="A63" t="s">
        <v>61</v>
      </c>
      <c r="B63" s="8"/>
    </row>
    <row r="64" spans="1:2" x14ac:dyDescent="0.3">
      <c r="A64" t="s">
        <v>62</v>
      </c>
      <c r="B64" s="8"/>
    </row>
    <row r="65" spans="1:4" x14ac:dyDescent="0.3">
      <c r="A65" t="s">
        <v>63</v>
      </c>
      <c r="B65" s="8"/>
    </row>
    <row r="66" spans="1:4" x14ac:dyDescent="0.3">
      <c r="A66" t="s">
        <v>64</v>
      </c>
      <c r="B66" s="8"/>
    </row>
    <row r="67" spans="1:4" x14ac:dyDescent="0.3">
      <c r="A67" t="s">
        <v>65</v>
      </c>
      <c r="B67" s="8"/>
    </row>
    <row r="68" spans="1:4" x14ac:dyDescent="0.3">
      <c r="A68" t="s">
        <v>66</v>
      </c>
      <c r="B68" s="8"/>
    </row>
    <row r="69" spans="1:4" x14ac:dyDescent="0.3">
      <c r="A69" t="s">
        <v>67</v>
      </c>
      <c r="B69" s="8"/>
    </row>
    <row r="70" spans="1:4" x14ac:dyDescent="0.3">
      <c r="A70" t="s">
        <v>68</v>
      </c>
      <c r="B70" s="8"/>
    </row>
    <row r="71" spans="1:4" x14ac:dyDescent="0.3">
      <c r="A71" t="s">
        <v>69</v>
      </c>
      <c r="B71" s="8"/>
    </row>
    <row r="72" spans="1:4" x14ac:dyDescent="0.3">
      <c r="A72" t="s">
        <v>70</v>
      </c>
      <c r="B72" s="8"/>
    </row>
    <row r="73" spans="1:4" x14ac:dyDescent="0.3">
      <c r="A73" t="s">
        <v>71</v>
      </c>
      <c r="B73" s="8"/>
    </row>
    <row r="74" spans="1:4" x14ac:dyDescent="0.3">
      <c r="A74" t="s">
        <v>373</v>
      </c>
      <c r="B74" s="8"/>
    </row>
    <row r="75" spans="1:4" x14ac:dyDescent="0.3">
      <c r="A75" t="s">
        <v>72</v>
      </c>
      <c r="B75" s="8"/>
    </row>
    <row r="76" spans="1:4" x14ac:dyDescent="0.3">
      <c r="D76" s="3">
        <f>COUNTIF(D2:D75,"=Y")</f>
        <v>1</v>
      </c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E76"/>
  <sheetViews>
    <sheetView topLeftCell="A55" workbookViewId="0">
      <selection activeCell="C26" sqref="C26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73</v>
      </c>
      <c r="B2" s="8" t="s">
        <v>370</v>
      </c>
    </row>
    <row r="3" spans="1:5" x14ac:dyDescent="0.3">
      <c r="A3" t="s">
        <v>74</v>
      </c>
      <c r="B3" s="8"/>
    </row>
    <row r="4" spans="1:5" x14ac:dyDescent="0.3">
      <c r="A4" t="s">
        <v>75</v>
      </c>
      <c r="B4" s="8"/>
    </row>
    <row r="5" spans="1:5" x14ac:dyDescent="0.3">
      <c r="A5" t="s">
        <v>76</v>
      </c>
      <c r="B5" s="8"/>
    </row>
    <row r="6" spans="1:5" x14ac:dyDescent="0.3">
      <c r="A6" t="s">
        <v>77</v>
      </c>
      <c r="B6" s="8"/>
    </row>
    <row r="7" spans="1:5" x14ac:dyDescent="0.3">
      <c r="A7" t="s">
        <v>78</v>
      </c>
      <c r="B7" s="8"/>
    </row>
    <row r="8" spans="1:5" x14ac:dyDescent="0.3">
      <c r="A8" t="s">
        <v>79</v>
      </c>
      <c r="B8" s="8"/>
    </row>
    <row r="9" spans="1:5" x14ac:dyDescent="0.3">
      <c r="A9" t="s">
        <v>80</v>
      </c>
      <c r="B9" s="8"/>
    </row>
    <row r="10" spans="1:5" x14ac:dyDescent="0.3">
      <c r="A10" t="s">
        <v>81</v>
      </c>
      <c r="B10" s="8"/>
    </row>
    <row r="11" spans="1:5" x14ac:dyDescent="0.3">
      <c r="A11" t="s">
        <v>82</v>
      </c>
      <c r="B11" s="8"/>
    </row>
    <row r="12" spans="1:5" x14ac:dyDescent="0.3">
      <c r="A12" t="s">
        <v>83</v>
      </c>
      <c r="B12" s="8"/>
    </row>
    <row r="13" spans="1:5" x14ac:dyDescent="0.3">
      <c r="A13" t="s">
        <v>84</v>
      </c>
      <c r="B13" s="8"/>
    </row>
    <row r="14" spans="1:5" x14ac:dyDescent="0.3">
      <c r="A14" t="s">
        <v>85</v>
      </c>
      <c r="B14" s="8"/>
    </row>
    <row r="15" spans="1:5" x14ac:dyDescent="0.3">
      <c r="A15" t="s">
        <v>86</v>
      </c>
      <c r="B15" s="8"/>
    </row>
    <row r="16" spans="1:5" x14ac:dyDescent="0.3">
      <c r="A16" t="s">
        <v>87</v>
      </c>
      <c r="B16" s="8"/>
    </row>
    <row r="17" spans="1:2" x14ac:dyDescent="0.3">
      <c r="A17" t="s">
        <v>88</v>
      </c>
      <c r="B17" s="8"/>
    </row>
    <row r="18" spans="1:2" x14ac:dyDescent="0.3">
      <c r="A18" t="s">
        <v>89</v>
      </c>
      <c r="B18" s="8"/>
    </row>
    <row r="19" spans="1:2" x14ac:dyDescent="0.3">
      <c r="A19" t="s">
        <v>90</v>
      </c>
      <c r="B19" s="8"/>
    </row>
    <row r="20" spans="1:2" x14ac:dyDescent="0.3">
      <c r="A20" t="s">
        <v>91</v>
      </c>
      <c r="B20" s="8"/>
    </row>
    <row r="21" spans="1:2" x14ac:dyDescent="0.3">
      <c r="A21" t="s">
        <v>92</v>
      </c>
      <c r="B21" s="8"/>
    </row>
    <row r="22" spans="1:2" x14ac:dyDescent="0.3">
      <c r="A22" t="s">
        <v>93</v>
      </c>
      <c r="B22" s="8"/>
    </row>
    <row r="23" spans="1:2" x14ac:dyDescent="0.3">
      <c r="A23" t="s">
        <v>94</v>
      </c>
      <c r="B23" s="8"/>
    </row>
    <row r="24" spans="1:2" x14ac:dyDescent="0.3">
      <c r="A24" t="s">
        <v>95</v>
      </c>
      <c r="B24" s="8"/>
    </row>
    <row r="25" spans="1:2" x14ac:dyDescent="0.3">
      <c r="A25" t="s">
        <v>96</v>
      </c>
      <c r="B25" s="8"/>
    </row>
    <row r="26" spans="1:2" x14ac:dyDescent="0.3">
      <c r="A26" t="s">
        <v>97</v>
      </c>
      <c r="B26" s="8"/>
    </row>
    <row r="27" spans="1:2" x14ac:dyDescent="0.3">
      <c r="A27" t="s">
        <v>98</v>
      </c>
      <c r="B27" s="8"/>
    </row>
    <row r="28" spans="1:2" x14ac:dyDescent="0.3">
      <c r="A28" t="s">
        <v>99</v>
      </c>
      <c r="B28" s="8"/>
    </row>
    <row r="29" spans="1:2" x14ac:dyDescent="0.3">
      <c r="A29" t="s">
        <v>100</v>
      </c>
      <c r="B29" s="8"/>
    </row>
    <row r="30" spans="1:2" x14ac:dyDescent="0.3">
      <c r="A30" t="s">
        <v>101</v>
      </c>
      <c r="B30" s="8"/>
    </row>
    <row r="31" spans="1:2" x14ac:dyDescent="0.3">
      <c r="A31" t="s">
        <v>102</v>
      </c>
      <c r="B31" s="8"/>
    </row>
    <row r="32" spans="1:2" x14ac:dyDescent="0.3">
      <c r="A32" t="s">
        <v>103</v>
      </c>
      <c r="B32" s="8"/>
    </row>
    <row r="33" spans="1:2" x14ac:dyDescent="0.3">
      <c r="A33" t="s">
        <v>104</v>
      </c>
      <c r="B33" s="8"/>
    </row>
    <row r="34" spans="1:2" x14ac:dyDescent="0.3">
      <c r="A34" t="s">
        <v>105</v>
      </c>
      <c r="B34" s="8"/>
    </row>
    <row r="35" spans="1:2" x14ac:dyDescent="0.3">
      <c r="A35" t="s">
        <v>106</v>
      </c>
      <c r="B35" s="8"/>
    </row>
    <row r="36" spans="1:2" x14ac:dyDescent="0.3">
      <c r="A36" t="s">
        <v>107</v>
      </c>
      <c r="B36" s="8"/>
    </row>
    <row r="37" spans="1:2" x14ac:dyDescent="0.3">
      <c r="A37" t="s">
        <v>108</v>
      </c>
      <c r="B37" s="8"/>
    </row>
    <row r="38" spans="1:2" x14ac:dyDescent="0.3">
      <c r="A38" t="s">
        <v>109</v>
      </c>
      <c r="B38" s="8"/>
    </row>
    <row r="39" spans="1:2" x14ac:dyDescent="0.3">
      <c r="A39" t="s">
        <v>110</v>
      </c>
      <c r="B39" s="8"/>
    </row>
    <row r="40" spans="1:2" x14ac:dyDescent="0.3">
      <c r="A40" t="s">
        <v>111</v>
      </c>
      <c r="B40" s="8"/>
    </row>
    <row r="41" spans="1:2" x14ac:dyDescent="0.3">
      <c r="A41" t="s">
        <v>112</v>
      </c>
      <c r="B41" s="8"/>
    </row>
    <row r="42" spans="1:2" x14ac:dyDescent="0.3">
      <c r="A42" t="s">
        <v>113</v>
      </c>
      <c r="B42" s="8"/>
    </row>
    <row r="43" spans="1:2" x14ac:dyDescent="0.3">
      <c r="A43" t="s">
        <v>114</v>
      </c>
      <c r="B43" s="8"/>
    </row>
    <row r="44" spans="1:2" x14ac:dyDescent="0.3">
      <c r="A44" t="s">
        <v>115</v>
      </c>
      <c r="B44" s="8"/>
    </row>
    <row r="45" spans="1:2" x14ac:dyDescent="0.3">
      <c r="A45" t="s">
        <v>116</v>
      </c>
      <c r="B45" s="8"/>
    </row>
    <row r="46" spans="1:2" x14ac:dyDescent="0.3">
      <c r="A46" t="s">
        <v>117</v>
      </c>
      <c r="B46" s="8"/>
    </row>
    <row r="47" spans="1:2" x14ac:dyDescent="0.3">
      <c r="A47" t="s">
        <v>118</v>
      </c>
      <c r="B47" s="8"/>
    </row>
    <row r="48" spans="1:2" x14ac:dyDescent="0.3">
      <c r="A48" t="s">
        <v>119</v>
      </c>
      <c r="B48" s="8"/>
    </row>
    <row r="49" spans="1:2" x14ac:dyDescent="0.3">
      <c r="A49" t="s">
        <v>120</v>
      </c>
      <c r="B49" s="8"/>
    </row>
    <row r="50" spans="1:2" x14ac:dyDescent="0.3">
      <c r="A50" t="s">
        <v>121</v>
      </c>
      <c r="B50" s="8"/>
    </row>
    <row r="51" spans="1:2" x14ac:dyDescent="0.3">
      <c r="A51" t="s">
        <v>122</v>
      </c>
      <c r="B51" s="8"/>
    </row>
    <row r="52" spans="1:2" x14ac:dyDescent="0.3">
      <c r="A52" t="s">
        <v>123</v>
      </c>
      <c r="B52" s="8"/>
    </row>
    <row r="53" spans="1:2" x14ac:dyDescent="0.3">
      <c r="A53" t="s">
        <v>124</v>
      </c>
      <c r="B53" s="8"/>
    </row>
    <row r="54" spans="1:2" x14ac:dyDescent="0.3">
      <c r="A54" t="s">
        <v>125</v>
      </c>
      <c r="B54" s="8"/>
    </row>
    <row r="55" spans="1:2" x14ac:dyDescent="0.3">
      <c r="A55" t="s">
        <v>126</v>
      </c>
      <c r="B55" s="8"/>
    </row>
    <row r="56" spans="1:2" x14ac:dyDescent="0.3">
      <c r="A56" t="s">
        <v>127</v>
      </c>
      <c r="B56" s="8"/>
    </row>
    <row r="57" spans="1:2" x14ac:dyDescent="0.3">
      <c r="A57" t="s">
        <v>128</v>
      </c>
      <c r="B57" s="8"/>
    </row>
    <row r="58" spans="1:2" x14ac:dyDescent="0.3">
      <c r="A58" t="s">
        <v>129</v>
      </c>
      <c r="B58" s="8"/>
    </row>
    <row r="59" spans="1:2" x14ac:dyDescent="0.3">
      <c r="A59" t="s">
        <v>130</v>
      </c>
      <c r="B59" s="8"/>
    </row>
    <row r="60" spans="1:2" x14ac:dyDescent="0.3">
      <c r="A60" t="s">
        <v>131</v>
      </c>
      <c r="B60" s="8"/>
    </row>
    <row r="61" spans="1:2" x14ac:dyDescent="0.3">
      <c r="A61" t="s">
        <v>132</v>
      </c>
      <c r="B61" s="8"/>
    </row>
    <row r="62" spans="1:2" x14ac:dyDescent="0.3">
      <c r="A62" t="s">
        <v>133</v>
      </c>
      <c r="B62" s="8"/>
    </row>
    <row r="63" spans="1:2" x14ac:dyDescent="0.3">
      <c r="A63" t="s">
        <v>134</v>
      </c>
      <c r="B63" s="8"/>
    </row>
    <row r="64" spans="1:2" x14ac:dyDescent="0.3">
      <c r="A64" t="s">
        <v>135</v>
      </c>
      <c r="B64" s="8"/>
    </row>
    <row r="65" spans="1:4" x14ac:dyDescent="0.3">
      <c r="A65" t="s">
        <v>136</v>
      </c>
      <c r="B65" s="8"/>
    </row>
    <row r="66" spans="1:4" x14ac:dyDescent="0.3">
      <c r="A66" t="s">
        <v>137</v>
      </c>
      <c r="B66" s="8"/>
    </row>
    <row r="67" spans="1:4" x14ac:dyDescent="0.3">
      <c r="A67" t="s">
        <v>138</v>
      </c>
      <c r="B67" s="8"/>
    </row>
    <row r="68" spans="1:4" x14ac:dyDescent="0.3">
      <c r="A68" t="s">
        <v>139</v>
      </c>
      <c r="B68" s="8"/>
    </row>
    <row r="69" spans="1:4" x14ac:dyDescent="0.3">
      <c r="A69" t="s">
        <v>140</v>
      </c>
      <c r="B69" s="8"/>
    </row>
    <row r="70" spans="1:4" x14ac:dyDescent="0.3">
      <c r="A70" t="s">
        <v>141</v>
      </c>
      <c r="B70" s="8"/>
    </row>
    <row r="71" spans="1:4" x14ac:dyDescent="0.3">
      <c r="A71" t="s">
        <v>142</v>
      </c>
      <c r="B71" s="8"/>
    </row>
    <row r="72" spans="1:4" x14ac:dyDescent="0.3">
      <c r="A72" t="s">
        <v>143</v>
      </c>
      <c r="B72" s="8"/>
    </row>
    <row r="73" spans="1:4" x14ac:dyDescent="0.3">
      <c r="A73" t="s">
        <v>144</v>
      </c>
      <c r="B73" s="8"/>
    </row>
    <row r="74" spans="1:4" x14ac:dyDescent="0.3">
      <c r="A74" t="s">
        <v>145</v>
      </c>
      <c r="B74" s="8"/>
    </row>
    <row r="75" spans="1:4" x14ac:dyDescent="0.3">
      <c r="A75" t="s">
        <v>146</v>
      </c>
      <c r="B75" s="8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E76"/>
  <sheetViews>
    <sheetView workbookViewId="0">
      <selection activeCell="E1" sqref="E1:E1048576"/>
    </sheetView>
  </sheetViews>
  <sheetFormatPr defaultRowHeight="16.5" x14ac:dyDescent="0.3"/>
  <cols>
    <col min="1" max="1" width="28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147</v>
      </c>
      <c r="B2" s="8" t="s">
        <v>372</v>
      </c>
    </row>
    <row r="3" spans="1:5" x14ac:dyDescent="0.3">
      <c r="A3" t="s">
        <v>148</v>
      </c>
      <c r="B3" s="8"/>
    </row>
    <row r="4" spans="1:5" x14ac:dyDescent="0.3">
      <c r="A4" t="s">
        <v>149</v>
      </c>
      <c r="B4" s="8"/>
    </row>
    <row r="5" spans="1:5" x14ac:dyDescent="0.3">
      <c r="A5" t="s">
        <v>150</v>
      </c>
      <c r="B5" s="8"/>
    </row>
    <row r="6" spans="1:5" x14ac:dyDescent="0.3">
      <c r="A6" t="s">
        <v>151</v>
      </c>
      <c r="B6" s="8"/>
    </row>
    <row r="7" spans="1:5" x14ac:dyDescent="0.3">
      <c r="A7" t="s">
        <v>152</v>
      </c>
      <c r="B7" s="8"/>
    </row>
    <row r="8" spans="1:5" x14ac:dyDescent="0.3">
      <c r="A8" t="s">
        <v>153</v>
      </c>
      <c r="B8" s="8"/>
    </row>
    <row r="9" spans="1:5" x14ac:dyDescent="0.3">
      <c r="A9" t="s">
        <v>154</v>
      </c>
      <c r="B9" s="8"/>
    </row>
    <row r="10" spans="1:5" x14ac:dyDescent="0.3">
      <c r="A10" t="s">
        <v>155</v>
      </c>
      <c r="B10" s="8"/>
    </row>
    <row r="11" spans="1:5" x14ac:dyDescent="0.3">
      <c r="A11" t="s">
        <v>156</v>
      </c>
      <c r="B11" s="8"/>
    </row>
    <row r="12" spans="1:5" x14ac:dyDescent="0.3">
      <c r="A12" t="s">
        <v>157</v>
      </c>
      <c r="B12" s="8"/>
    </row>
    <row r="13" spans="1:5" x14ac:dyDescent="0.3">
      <c r="A13" t="s">
        <v>158</v>
      </c>
      <c r="B13" s="8"/>
    </row>
    <row r="14" spans="1:5" x14ac:dyDescent="0.3">
      <c r="A14" t="s">
        <v>159</v>
      </c>
      <c r="B14" s="8"/>
    </row>
    <row r="15" spans="1:5" x14ac:dyDescent="0.3">
      <c r="A15" t="s">
        <v>160</v>
      </c>
      <c r="B15" s="8"/>
    </row>
    <row r="16" spans="1:5" x14ac:dyDescent="0.3">
      <c r="A16" t="s">
        <v>161</v>
      </c>
      <c r="B16" s="8"/>
    </row>
    <row r="17" spans="1:2" x14ac:dyDescent="0.3">
      <c r="A17" t="s">
        <v>162</v>
      </c>
      <c r="B17" s="8"/>
    </row>
    <row r="18" spans="1:2" x14ac:dyDescent="0.3">
      <c r="A18" t="s">
        <v>163</v>
      </c>
      <c r="B18" s="8"/>
    </row>
    <row r="19" spans="1:2" x14ac:dyDescent="0.3">
      <c r="A19" t="s">
        <v>164</v>
      </c>
      <c r="B19" s="8"/>
    </row>
    <row r="20" spans="1:2" x14ac:dyDescent="0.3">
      <c r="A20" t="s">
        <v>165</v>
      </c>
      <c r="B20" s="8"/>
    </row>
    <row r="21" spans="1:2" x14ac:dyDescent="0.3">
      <c r="A21" t="s">
        <v>166</v>
      </c>
      <c r="B21" s="8"/>
    </row>
    <row r="22" spans="1:2" x14ac:dyDescent="0.3">
      <c r="A22" t="s">
        <v>167</v>
      </c>
      <c r="B22" s="8"/>
    </row>
    <row r="23" spans="1:2" x14ac:dyDescent="0.3">
      <c r="A23" t="s">
        <v>168</v>
      </c>
      <c r="B23" s="8"/>
    </row>
    <row r="24" spans="1:2" x14ac:dyDescent="0.3">
      <c r="A24" t="s">
        <v>169</v>
      </c>
      <c r="B24" s="8"/>
    </row>
    <row r="25" spans="1:2" x14ac:dyDescent="0.3">
      <c r="A25" t="s">
        <v>170</v>
      </c>
      <c r="B25" s="8"/>
    </row>
    <row r="26" spans="1:2" x14ac:dyDescent="0.3">
      <c r="A26" t="s">
        <v>171</v>
      </c>
      <c r="B26" s="8"/>
    </row>
    <row r="27" spans="1:2" x14ac:dyDescent="0.3">
      <c r="A27" t="s">
        <v>172</v>
      </c>
      <c r="B27" s="8"/>
    </row>
    <row r="28" spans="1:2" x14ac:dyDescent="0.3">
      <c r="A28" t="s">
        <v>173</v>
      </c>
      <c r="B28" s="8"/>
    </row>
    <row r="29" spans="1:2" x14ac:dyDescent="0.3">
      <c r="A29" t="s">
        <v>174</v>
      </c>
      <c r="B29" s="8"/>
    </row>
    <row r="30" spans="1:2" x14ac:dyDescent="0.3">
      <c r="A30" t="s">
        <v>175</v>
      </c>
      <c r="B30" s="8"/>
    </row>
    <row r="31" spans="1:2" x14ac:dyDescent="0.3">
      <c r="A31" t="s">
        <v>176</v>
      </c>
      <c r="B31" s="8"/>
    </row>
    <row r="32" spans="1:2" x14ac:dyDescent="0.3">
      <c r="A32" t="s">
        <v>177</v>
      </c>
      <c r="B32" s="8"/>
    </row>
    <row r="33" spans="1:2" x14ac:dyDescent="0.3">
      <c r="A33" t="s">
        <v>178</v>
      </c>
      <c r="B33" s="8"/>
    </row>
    <row r="34" spans="1:2" x14ac:dyDescent="0.3">
      <c r="A34" t="s">
        <v>179</v>
      </c>
      <c r="B34" s="8"/>
    </row>
    <row r="35" spans="1:2" x14ac:dyDescent="0.3">
      <c r="A35" t="s">
        <v>180</v>
      </c>
      <c r="B35" s="8"/>
    </row>
    <row r="36" spans="1:2" x14ac:dyDescent="0.3">
      <c r="A36" t="s">
        <v>181</v>
      </c>
      <c r="B36" s="8"/>
    </row>
    <row r="37" spans="1:2" x14ac:dyDescent="0.3">
      <c r="A37" t="s">
        <v>182</v>
      </c>
      <c r="B37" s="8"/>
    </row>
    <row r="38" spans="1:2" x14ac:dyDescent="0.3">
      <c r="A38" t="s">
        <v>183</v>
      </c>
      <c r="B38" s="8"/>
    </row>
    <row r="39" spans="1:2" x14ac:dyDescent="0.3">
      <c r="A39" t="s">
        <v>184</v>
      </c>
      <c r="B39" s="8"/>
    </row>
    <row r="40" spans="1:2" x14ac:dyDescent="0.3">
      <c r="A40" t="s">
        <v>185</v>
      </c>
      <c r="B40" s="8"/>
    </row>
    <row r="41" spans="1:2" x14ac:dyDescent="0.3">
      <c r="A41" t="s">
        <v>186</v>
      </c>
      <c r="B41" s="8"/>
    </row>
    <row r="42" spans="1:2" x14ac:dyDescent="0.3">
      <c r="A42" t="s">
        <v>187</v>
      </c>
      <c r="B42" s="8"/>
    </row>
    <row r="43" spans="1:2" x14ac:dyDescent="0.3">
      <c r="A43" t="s">
        <v>188</v>
      </c>
      <c r="B43" s="8"/>
    </row>
    <row r="44" spans="1:2" x14ac:dyDescent="0.3">
      <c r="A44" t="s">
        <v>189</v>
      </c>
      <c r="B44" s="8"/>
    </row>
    <row r="45" spans="1:2" x14ac:dyDescent="0.3">
      <c r="A45" t="s">
        <v>190</v>
      </c>
      <c r="B45" s="8"/>
    </row>
    <row r="46" spans="1:2" x14ac:dyDescent="0.3">
      <c r="A46" t="s">
        <v>191</v>
      </c>
      <c r="B46" s="8"/>
    </row>
    <row r="47" spans="1:2" x14ac:dyDescent="0.3">
      <c r="A47" t="s">
        <v>192</v>
      </c>
      <c r="B47" s="8"/>
    </row>
    <row r="48" spans="1:2" x14ac:dyDescent="0.3">
      <c r="A48" t="s">
        <v>193</v>
      </c>
      <c r="B48" s="8"/>
    </row>
    <row r="49" spans="1:2" x14ac:dyDescent="0.3">
      <c r="A49" t="s">
        <v>194</v>
      </c>
      <c r="B49" s="8"/>
    </row>
    <row r="50" spans="1:2" x14ac:dyDescent="0.3">
      <c r="A50" t="s">
        <v>195</v>
      </c>
      <c r="B50" s="8"/>
    </row>
    <row r="51" spans="1:2" x14ac:dyDescent="0.3">
      <c r="A51" t="s">
        <v>196</v>
      </c>
      <c r="B51" s="8"/>
    </row>
    <row r="52" spans="1:2" x14ac:dyDescent="0.3">
      <c r="A52" t="s">
        <v>197</v>
      </c>
      <c r="B52" s="8"/>
    </row>
    <row r="53" spans="1:2" x14ac:dyDescent="0.3">
      <c r="A53" t="s">
        <v>198</v>
      </c>
      <c r="B53" s="8"/>
    </row>
    <row r="54" spans="1:2" x14ac:dyDescent="0.3">
      <c r="A54" t="s">
        <v>199</v>
      </c>
      <c r="B54" s="8"/>
    </row>
    <row r="55" spans="1:2" x14ac:dyDescent="0.3">
      <c r="A55" t="s">
        <v>200</v>
      </c>
      <c r="B55" s="8"/>
    </row>
    <row r="56" spans="1:2" x14ac:dyDescent="0.3">
      <c r="A56" t="s">
        <v>201</v>
      </c>
      <c r="B56" s="8"/>
    </row>
    <row r="57" spans="1:2" x14ac:dyDescent="0.3">
      <c r="A57" t="s">
        <v>202</v>
      </c>
      <c r="B57" s="8"/>
    </row>
    <row r="58" spans="1:2" x14ac:dyDescent="0.3">
      <c r="A58" t="s">
        <v>203</v>
      </c>
      <c r="B58" s="8"/>
    </row>
    <row r="59" spans="1:2" x14ac:dyDescent="0.3">
      <c r="A59" t="s">
        <v>204</v>
      </c>
      <c r="B59" s="8"/>
    </row>
    <row r="60" spans="1:2" x14ac:dyDescent="0.3">
      <c r="A60" t="s">
        <v>205</v>
      </c>
      <c r="B60" s="8"/>
    </row>
    <row r="61" spans="1:2" x14ac:dyDescent="0.3">
      <c r="A61" t="s">
        <v>206</v>
      </c>
      <c r="B61" s="8"/>
    </row>
    <row r="62" spans="1:2" x14ac:dyDescent="0.3">
      <c r="A62" t="s">
        <v>207</v>
      </c>
      <c r="B62" s="8"/>
    </row>
    <row r="63" spans="1:2" x14ac:dyDescent="0.3">
      <c r="A63" t="s">
        <v>208</v>
      </c>
      <c r="B63" s="8"/>
    </row>
    <row r="64" spans="1:2" x14ac:dyDescent="0.3">
      <c r="A64" t="s">
        <v>209</v>
      </c>
      <c r="B64" s="8"/>
    </row>
    <row r="65" spans="1:4" x14ac:dyDescent="0.3">
      <c r="A65" t="s">
        <v>210</v>
      </c>
      <c r="B65" s="8"/>
    </row>
    <row r="66" spans="1:4" x14ac:dyDescent="0.3">
      <c r="A66" t="s">
        <v>211</v>
      </c>
      <c r="B66" s="8"/>
    </row>
    <row r="67" spans="1:4" x14ac:dyDescent="0.3">
      <c r="A67" t="s">
        <v>212</v>
      </c>
      <c r="B67" s="8"/>
    </row>
    <row r="68" spans="1:4" x14ac:dyDescent="0.3">
      <c r="A68" t="s">
        <v>213</v>
      </c>
      <c r="B68" s="8"/>
    </row>
    <row r="69" spans="1:4" x14ac:dyDescent="0.3">
      <c r="A69" t="s">
        <v>214</v>
      </c>
      <c r="B69" s="8"/>
    </row>
    <row r="70" spans="1:4" x14ac:dyDescent="0.3">
      <c r="A70" t="s">
        <v>215</v>
      </c>
      <c r="B70" s="8"/>
    </row>
    <row r="71" spans="1:4" x14ac:dyDescent="0.3">
      <c r="A71" t="s">
        <v>216</v>
      </c>
      <c r="B71" s="8"/>
    </row>
    <row r="72" spans="1:4" x14ac:dyDescent="0.3">
      <c r="A72" t="s">
        <v>217</v>
      </c>
      <c r="B72" s="8"/>
    </row>
    <row r="73" spans="1:4" x14ac:dyDescent="0.3">
      <c r="A73" t="s">
        <v>218</v>
      </c>
      <c r="B73" s="8"/>
    </row>
    <row r="74" spans="1:4" x14ac:dyDescent="0.3">
      <c r="A74" t="s">
        <v>219</v>
      </c>
      <c r="B74" s="8"/>
    </row>
    <row r="75" spans="1:4" x14ac:dyDescent="0.3">
      <c r="A75" t="s">
        <v>220</v>
      </c>
      <c r="B75" s="8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I104"/>
  <sheetViews>
    <sheetView tabSelected="1" topLeftCell="A34" zoomScaleNormal="100" workbookViewId="0">
      <selection activeCell="C45" sqref="C45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  <col min="7" max="7" width="13.625" customWidth="1"/>
  </cols>
  <sheetData>
    <row r="1" spans="1:9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  <c r="G1" s="1" t="s">
        <v>381</v>
      </c>
      <c r="H1" s="5" t="s">
        <v>385</v>
      </c>
    </row>
    <row r="2" spans="1:9" x14ac:dyDescent="0.3">
      <c r="A2" t="s">
        <v>380</v>
      </c>
      <c r="B2" s="8" t="s">
        <v>374</v>
      </c>
      <c r="C2" t="s">
        <v>438</v>
      </c>
      <c r="D2" s="1" t="s">
        <v>376</v>
      </c>
      <c r="G2">
        <f>COUNTIF(D:D,"Y")</f>
        <v>48</v>
      </c>
      <c r="H2" s="5" t="s">
        <v>386</v>
      </c>
    </row>
    <row r="3" spans="1:9" ht="16.5" customHeight="1" x14ac:dyDescent="0.3">
      <c r="A3" s="4" t="s">
        <v>221</v>
      </c>
      <c r="B3" s="8"/>
      <c r="D3" s="1" t="s">
        <v>376</v>
      </c>
      <c r="H3" s="5" t="s">
        <v>387</v>
      </c>
    </row>
    <row r="4" spans="1:9" x14ac:dyDescent="0.3">
      <c r="A4" t="s">
        <v>222</v>
      </c>
      <c r="B4" s="8"/>
      <c r="C4" t="s">
        <v>439</v>
      </c>
      <c r="D4" s="1" t="s">
        <v>376</v>
      </c>
      <c r="H4" s="5" t="s">
        <v>388</v>
      </c>
    </row>
    <row r="5" spans="1:9" x14ac:dyDescent="0.3">
      <c r="A5" t="s">
        <v>223</v>
      </c>
      <c r="B5" s="8"/>
      <c r="C5" t="s">
        <v>440</v>
      </c>
      <c r="H5" s="5" t="s">
        <v>389</v>
      </c>
    </row>
    <row r="6" spans="1:9" x14ac:dyDescent="0.3">
      <c r="A6" t="s">
        <v>224</v>
      </c>
      <c r="B6" s="8"/>
      <c r="C6" t="s">
        <v>441</v>
      </c>
      <c r="D6" s="1" t="s">
        <v>376</v>
      </c>
      <c r="H6" s="5" t="s">
        <v>390</v>
      </c>
    </row>
    <row r="7" spans="1:9" x14ac:dyDescent="0.3">
      <c r="A7" t="s">
        <v>225</v>
      </c>
      <c r="B7" s="8"/>
      <c r="C7" t="s">
        <v>437</v>
      </c>
      <c r="D7" s="1" t="s">
        <v>376</v>
      </c>
      <c r="H7" s="5" t="s">
        <v>391</v>
      </c>
    </row>
    <row r="8" spans="1:9" x14ac:dyDescent="0.3">
      <c r="A8" t="s">
        <v>226</v>
      </c>
      <c r="B8" s="8"/>
      <c r="C8" t="s">
        <v>411</v>
      </c>
      <c r="D8" s="1" t="s">
        <v>376</v>
      </c>
      <c r="H8" s="5" t="s">
        <v>392</v>
      </c>
    </row>
    <row r="9" spans="1:9" x14ac:dyDescent="0.3">
      <c r="A9" t="s">
        <v>227</v>
      </c>
      <c r="B9" s="8"/>
      <c r="C9" t="s">
        <v>395</v>
      </c>
      <c r="D9" s="1" t="s">
        <v>376</v>
      </c>
      <c r="H9" s="5" t="s">
        <v>393</v>
      </c>
    </row>
    <row r="10" spans="1:9" x14ac:dyDescent="0.3">
      <c r="A10" t="s">
        <v>228</v>
      </c>
      <c r="B10" s="8"/>
      <c r="C10" t="s">
        <v>396</v>
      </c>
      <c r="D10" s="1" t="s">
        <v>376</v>
      </c>
      <c r="H10" s="5" t="s">
        <v>394</v>
      </c>
    </row>
    <row r="11" spans="1:9" x14ac:dyDescent="0.3">
      <c r="A11" t="s">
        <v>229</v>
      </c>
      <c r="B11" s="8"/>
      <c r="C11" t="s">
        <v>397</v>
      </c>
      <c r="D11" s="1" t="s">
        <v>376</v>
      </c>
    </row>
    <row r="12" spans="1:9" x14ac:dyDescent="0.3">
      <c r="A12" t="s">
        <v>230</v>
      </c>
      <c r="B12" s="8"/>
      <c r="C12" t="s">
        <v>412</v>
      </c>
      <c r="D12" s="1" t="s">
        <v>376</v>
      </c>
    </row>
    <row r="13" spans="1:9" x14ac:dyDescent="0.3">
      <c r="A13" t="s">
        <v>231</v>
      </c>
      <c r="B13" s="8"/>
      <c r="C13" t="s">
        <v>413</v>
      </c>
      <c r="D13" s="1" t="s">
        <v>376</v>
      </c>
      <c r="I13">
        <f>COUNTA(A2:A75)</f>
        <v>74</v>
      </c>
    </row>
    <row r="14" spans="1:9" x14ac:dyDescent="0.3">
      <c r="A14" t="s">
        <v>232</v>
      </c>
      <c r="B14" s="8"/>
      <c r="C14" t="s">
        <v>398</v>
      </c>
      <c r="D14" s="1" t="s">
        <v>376</v>
      </c>
    </row>
    <row r="15" spans="1:9" ht="16.5" customHeight="1" x14ac:dyDescent="0.3">
      <c r="A15" s="4" t="s">
        <v>233</v>
      </c>
      <c r="B15" s="8"/>
      <c r="C15" t="s">
        <v>384</v>
      </c>
      <c r="D15" s="1" t="s">
        <v>376</v>
      </c>
    </row>
    <row r="16" spans="1:9" x14ac:dyDescent="0.3">
      <c r="A16" t="s">
        <v>234</v>
      </c>
      <c r="B16" s="8"/>
      <c r="C16" t="s">
        <v>399</v>
      </c>
      <c r="D16" s="1" t="s">
        <v>376</v>
      </c>
    </row>
    <row r="17" spans="1:8" x14ac:dyDescent="0.3">
      <c r="A17" t="s">
        <v>235</v>
      </c>
      <c r="B17" s="8"/>
      <c r="C17" t="s">
        <v>400</v>
      </c>
      <c r="D17" s="1" t="s">
        <v>376</v>
      </c>
    </row>
    <row r="18" spans="1:8" x14ac:dyDescent="0.3">
      <c r="A18" t="s">
        <v>236</v>
      </c>
      <c r="B18" s="8"/>
      <c r="C18" t="s">
        <v>414</v>
      </c>
      <c r="D18" s="1" t="s">
        <v>376</v>
      </c>
    </row>
    <row r="19" spans="1:8" ht="16.5" customHeight="1" x14ac:dyDescent="0.3">
      <c r="A19" s="4" t="s">
        <v>237</v>
      </c>
      <c r="B19" s="8"/>
      <c r="C19" t="s">
        <v>384</v>
      </c>
      <c r="D19" s="1" t="s">
        <v>376</v>
      </c>
    </row>
    <row r="20" spans="1:8" x14ac:dyDescent="0.3">
      <c r="A20" t="s">
        <v>238</v>
      </c>
      <c r="B20" s="8"/>
      <c r="C20" t="s">
        <v>401</v>
      </c>
      <c r="D20" s="1" t="s">
        <v>376</v>
      </c>
    </row>
    <row r="21" spans="1:8" x14ac:dyDescent="0.3">
      <c r="A21" t="s">
        <v>442</v>
      </c>
      <c r="B21" s="8"/>
      <c r="C21" t="s">
        <v>402</v>
      </c>
    </row>
    <row r="22" spans="1:8" x14ac:dyDescent="0.3">
      <c r="A22" t="s">
        <v>239</v>
      </c>
      <c r="B22" s="8"/>
      <c r="C22" t="s">
        <v>403</v>
      </c>
    </row>
    <row r="23" spans="1:8" x14ac:dyDescent="0.3">
      <c r="A23" t="s">
        <v>240</v>
      </c>
      <c r="B23" s="8"/>
      <c r="C23" t="s">
        <v>415</v>
      </c>
      <c r="D23" s="1" t="s">
        <v>376</v>
      </c>
    </row>
    <row r="24" spans="1:8" x14ac:dyDescent="0.3">
      <c r="A24" t="s">
        <v>241</v>
      </c>
      <c r="B24" s="8"/>
      <c r="C24" t="s">
        <v>404</v>
      </c>
      <c r="D24" s="1" t="s">
        <v>376</v>
      </c>
    </row>
    <row r="25" spans="1:8" ht="16.5" customHeight="1" x14ac:dyDescent="0.3">
      <c r="A25" s="4" t="s">
        <v>242</v>
      </c>
      <c r="B25" s="8"/>
      <c r="C25" t="s">
        <v>384</v>
      </c>
      <c r="D25" s="1" t="s">
        <v>376</v>
      </c>
    </row>
    <row r="26" spans="1:8" x14ac:dyDescent="0.3">
      <c r="A26" t="s">
        <v>243</v>
      </c>
      <c r="B26" s="8"/>
      <c r="C26" t="s">
        <v>416</v>
      </c>
      <c r="D26" s="1" t="s">
        <v>376</v>
      </c>
    </row>
    <row r="27" spans="1:8" x14ac:dyDescent="0.3">
      <c r="A27" t="s">
        <v>244</v>
      </c>
      <c r="B27" s="8"/>
      <c r="C27" t="s">
        <v>417</v>
      </c>
      <c r="D27" s="1" t="s">
        <v>376</v>
      </c>
    </row>
    <row r="28" spans="1:8" x14ac:dyDescent="0.3">
      <c r="A28" t="s">
        <v>382</v>
      </c>
      <c r="B28" s="8"/>
      <c r="C28" t="s">
        <v>405</v>
      </c>
      <c r="D28" s="1" t="s">
        <v>376</v>
      </c>
      <c r="H28" s="7"/>
    </row>
    <row r="29" spans="1:8" ht="16.5" customHeight="1" x14ac:dyDescent="0.3">
      <c r="A29" s="4" t="s">
        <v>383</v>
      </c>
      <c r="B29" s="8"/>
      <c r="C29" t="s">
        <v>384</v>
      </c>
      <c r="D29" s="1" t="s">
        <v>376</v>
      </c>
      <c r="H29" s="6" t="s">
        <v>408</v>
      </c>
    </row>
    <row r="30" spans="1:8" x14ac:dyDescent="0.3">
      <c r="A30" t="s">
        <v>245</v>
      </c>
      <c r="B30" s="8"/>
      <c r="C30" t="s">
        <v>406</v>
      </c>
      <c r="D30" s="1" t="s">
        <v>376</v>
      </c>
    </row>
    <row r="31" spans="1:8" x14ac:dyDescent="0.3">
      <c r="A31" t="s">
        <v>246</v>
      </c>
      <c r="B31" s="8"/>
      <c r="C31" t="s">
        <v>407</v>
      </c>
      <c r="D31" s="1" t="s">
        <v>376</v>
      </c>
      <c r="H31" s="7"/>
    </row>
    <row r="32" spans="1:8" x14ac:dyDescent="0.3">
      <c r="A32" t="s">
        <v>247</v>
      </c>
      <c r="B32" s="8"/>
      <c r="C32" s="6" t="s">
        <v>418</v>
      </c>
      <c r="D32" s="1" t="s">
        <v>376</v>
      </c>
      <c r="H32" s="6"/>
    </row>
    <row r="33" spans="1:8" x14ac:dyDescent="0.3">
      <c r="A33" t="s">
        <v>248</v>
      </c>
      <c r="B33" s="8"/>
      <c r="C33" t="s">
        <v>419</v>
      </c>
      <c r="D33" s="1" t="s">
        <v>376</v>
      </c>
      <c r="H33" s="6"/>
    </row>
    <row r="34" spans="1:8" x14ac:dyDescent="0.3">
      <c r="A34" t="s">
        <v>249</v>
      </c>
      <c r="B34" s="8"/>
      <c r="C34" t="s">
        <v>420</v>
      </c>
      <c r="D34" s="1" t="s">
        <v>376</v>
      </c>
      <c r="H34" s="7"/>
    </row>
    <row r="35" spans="1:8" x14ac:dyDescent="0.3">
      <c r="A35" t="s">
        <v>250</v>
      </c>
      <c r="B35" s="8"/>
      <c r="C35" t="s">
        <v>421</v>
      </c>
      <c r="H35" s="6"/>
    </row>
    <row r="36" spans="1:8" x14ac:dyDescent="0.3">
      <c r="A36" t="s">
        <v>251</v>
      </c>
      <c r="B36" s="8"/>
      <c r="C36" t="s">
        <v>422</v>
      </c>
      <c r="H36" s="6"/>
    </row>
    <row r="37" spans="1:8" x14ac:dyDescent="0.3">
      <c r="A37" t="s">
        <v>252</v>
      </c>
      <c r="B37" s="8"/>
      <c r="C37" t="s">
        <v>423</v>
      </c>
      <c r="H37" s="7"/>
    </row>
    <row r="38" spans="1:8" x14ac:dyDescent="0.3">
      <c r="A38" t="s">
        <v>253</v>
      </c>
      <c r="B38" s="8"/>
      <c r="C38" t="s">
        <v>424</v>
      </c>
      <c r="H38" s="6"/>
    </row>
    <row r="39" spans="1:8" x14ac:dyDescent="0.3">
      <c r="A39" t="s">
        <v>254</v>
      </c>
      <c r="B39" s="8"/>
      <c r="C39" t="s">
        <v>425</v>
      </c>
      <c r="H39" s="6"/>
    </row>
    <row r="40" spans="1:8" x14ac:dyDescent="0.3">
      <c r="A40" t="s">
        <v>255</v>
      </c>
      <c r="B40" s="8"/>
      <c r="C40" t="s">
        <v>426</v>
      </c>
      <c r="H40" s="7"/>
    </row>
    <row r="41" spans="1:8" x14ac:dyDescent="0.3">
      <c r="A41" t="s">
        <v>256</v>
      </c>
      <c r="B41" s="8"/>
      <c r="C41" t="s">
        <v>465</v>
      </c>
      <c r="H41" s="6"/>
    </row>
    <row r="42" spans="1:8" ht="16.5" customHeight="1" x14ac:dyDescent="0.3">
      <c r="A42" s="4" t="s">
        <v>257</v>
      </c>
      <c r="B42" s="8"/>
      <c r="C42" t="s">
        <v>384</v>
      </c>
      <c r="D42" s="1" t="s">
        <v>376</v>
      </c>
      <c r="H42" s="6"/>
    </row>
    <row r="43" spans="1:8" ht="16.5" customHeight="1" x14ac:dyDescent="0.3">
      <c r="A43" s="4" t="s">
        <v>258</v>
      </c>
      <c r="B43" s="8"/>
      <c r="C43" t="s">
        <v>384</v>
      </c>
      <c r="D43" s="1" t="s">
        <v>376</v>
      </c>
      <c r="H43" s="7"/>
    </row>
    <row r="44" spans="1:8" x14ac:dyDescent="0.3">
      <c r="A44" t="s">
        <v>259</v>
      </c>
      <c r="B44" s="8"/>
      <c r="C44" t="s">
        <v>427</v>
      </c>
      <c r="H44" s="6"/>
    </row>
    <row r="45" spans="1:8" x14ac:dyDescent="0.3">
      <c r="A45" t="s">
        <v>260</v>
      </c>
      <c r="B45" s="8"/>
      <c r="C45" t="s">
        <v>428</v>
      </c>
      <c r="H45" s="6"/>
    </row>
    <row r="46" spans="1:8" x14ac:dyDescent="0.3">
      <c r="A46" t="s">
        <v>261</v>
      </c>
      <c r="B46" s="8"/>
      <c r="C46" t="s">
        <v>429</v>
      </c>
      <c r="D46" s="1" t="s">
        <v>376</v>
      </c>
      <c r="H46" s="7"/>
    </row>
    <row r="47" spans="1:8" x14ac:dyDescent="0.3">
      <c r="A47" t="s">
        <v>262</v>
      </c>
      <c r="B47" s="8"/>
      <c r="C47" t="s">
        <v>430</v>
      </c>
      <c r="D47" s="1" t="s">
        <v>376</v>
      </c>
      <c r="H47" s="6"/>
    </row>
    <row r="48" spans="1:8" x14ac:dyDescent="0.3">
      <c r="A48" t="s">
        <v>263</v>
      </c>
      <c r="B48" s="8"/>
      <c r="C48" t="s">
        <v>431</v>
      </c>
      <c r="D48" s="1" t="s">
        <v>376</v>
      </c>
      <c r="H48" s="6"/>
    </row>
    <row r="49" spans="1:8" x14ac:dyDescent="0.3">
      <c r="A49" t="s">
        <v>264</v>
      </c>
      <c r="B49" s="8"/>
      <c r="C49" t="s">
        <v>432</v>
      </c>
      <c r="D49" s="1" t="s">
        <v>376</v>
      </c>
      <c r="H49" s="7"/>
    </row>
    <row r="50" spans="1:8" x14ac:dyDescent="0.3">
      <c r="A50" t="s">
        <v>265</v>
      </c>
      <c r="B50" s="8"/>
      <c r="C50" t="s">
        <v>433</v>
      </c>
      <c r="D50" s="1" t="s">
        <v>376</v>
      </c>
      <c r="H50" s="6"/>
    </row>
    <row r="51" spans="1:8" x14ac:dyDescent="0.3">
      <c r="A51" t="s">
        <v>266</v>
      </c>
      <c r="B51" s="8"/>
      <c r="C51" t="s">
        <v>434</v>
      </c>
      <c r="D51" s="1" t="s">
        <v>376</v>
      </c>
      <c r="H51" s="6"/>
    </row>
    <row r="52" spans="1:8" x14ac:dyDescent="0.3">
      <c r="A52" t="s">
        <v>267</v>
      </c>
      <c r="B52" s="8"/>
      <c r="C52" t="s">
        <v>435</v>
      </c>
      <c r="D52" s="1" t="s">
        <v>376</v>
      </c>
      <c r="H52" s="7"/>
    </row>
    <row r="53" spans="1:8" x14ac:dyDescent="0.3">
      <c r="A53" t="s">
        <v>268</v>
      </c>
      <c r="B53" s="8"/>
      <c r="C53" t="s">
        <v>436</v>
      </c>
      <c r="D53" s="1" t="s">
        <v>376</v>
      </c>
      <c r="H53" s="6"/>
    </row>
    <row r="54" spans="1:8" x14ac:dyDescent="0.3">
      <c r="A54" t="s">
        <v>269</v>
      </c>
      <c r="B54" s="8"/>
      <c r="C54" t="s">
        <v>464</v>
      </c>
      <c r="H54" s="6"/>
    </row>
    <row r="55" spans="1:8" x14ac:dyDescent="0.3">
      <c r="A55" t="s">
        <v>270</v>
      </c>
      <c r="B55" s="8"/>
      <c r="C55" t="s">
        <v>463</v>
      </c>
      <c r="H55" s="7"/>
    </row>
    <row r="56" spans="1:8" x14ac:dyDescent="0.3">
      <c r="A56" t="s">
        <v>271</v>
      </c>
      <c r="B56" s="8"/>
      <c r="C56" t="s">
        <v>462</v>
      </c>
      <c r="H56" s="6"/>
    </row>
    <row r="57" spans="1:8" x14ac:dyDescent="0.3">
      <c r="A57" t="s">
        <v>272</v>
      </c>
      <c r="B57" s="8"/>
      <c r="C57" t="s">
        <v>461</v>
      </c>
      <c r="H57" s="6"/>
    </row>
    <row r="58" spans="1:8" x14ac:dyDescent="0.3">
      <c r="A58" t="s">
        <v>273</v>
      </c>
      <c r="B58" s="8"/>
      <c r="C58" t="s">
        <v>460</v>
      </c>
      <c r="H58" s="7"/>
    </row>
    <row r="59" spans="1:8" x14ac:dyDescent="0.3">
      <c r="A59" t="s">
        <v>274</v>
      </c>
      <c r="B59" s="8"/>
      <c r="C59" t="s">
        <v>459</v>
      </c>
      <c r="H59" s="6"/>
    </row>
    <row r="60" spans="1:8" x14ac:dyDescent="0.3">
      <c r="A60" t="s">
        <v>275</v>
      </c>
      <c r="B60" s="8"/>
      <c r="C60" t="s">
        <v>458</v>
      </c>
      <c r="H60" s="6"/>
    </row>
    <row r="61" spans="1:8" x14ac:dyDescent="0.3">
      <c r="A61" t="s">
        <v>276</v>
      </c>
      <c r="B61" s="8"/>
      <c r="C61" t="s">
        <v>457</v>
      </c>
      <c r="H61" s="7"/>
    </row>
    <row r="62" spans="1:8" x14ac:dyDescent="0.3">
      <c r="A62" t="s">
        <v>277</v>
      </c>
      <c r="B62" s="8"/>
      <c r="C62" t="s">
        <v>456</v>
      </c>
      <c r="H62" s="6"/>
    </row>
    <row r="63" spans="1:8" x14ac:dyDescent="0.3">
      <c r="A63" t="s">
        <v>278</v>
      </c>
      <c r="B63" s="8"/>
      <c r="C63" t="s">
        <v>455</v>
      </c>
      <c r="H63" s="6"/>
    </row>
    <row r="64" spans="1:8" x14ac:dyDescent="0.3">
      <c r="A64" t="s">
        <v>279</v>
      </c>
      <c r="B64" s="8"/>
      <c r="C64" t="s">
        <v>454</v>
      </c>
      <c r="H64" s="7"/>
    </row>
    <row r="65" spans="1:8" x14ac:dyDescent="0.3">
      <c r="A65" t="s">
        <v>280</v>
      </c>
      <c r="B65" s="8"/>
      <c r="C65" t="s">
        <v>453</v>
      </c>
      <c r="D65" s="1" t="s">
        <v>376</v>
      </c>
      <c r="H65" s="6"/>
    </row>
    <row r="66" spans="1:8" x14ac:dyDescent="0.3">
      <c r="A66" t="s">
        <v>281</v>
      </c>
      <c r="B66" s="8"/>
      <c r="C66" t="s">
        <v>452</v>
      </c>
      <c r="D66" s="1" t="s">
        <v>376</v>
      </c>
      <c r="H66" s="6"/>
    </row>
    <row r="67" spans="1:8" x14ac:dyDescent="0.3">
      <c r="A67" t="s">
        <v>282</v>
      </c>
      <c r="B67" s="8"/>
      <c r="C67" t="s">
        <v>451</v>
      </c>
      <c r="D67" s="1" t="s">
        <v>376</v>
      </c>
      <c r="H67" s="7"/>
    </row>
    <row r="68" spans="1:8" x14ac:dyDescent="0.3">
      <c r="A68" t="s">
        <v>283</v>
      </c>
      <c r="B68" s="8"/>
      <c r="C68" t="s">
        <v>450</v>
      </c>
      <c r="D68" s="1" t="s">
        <v>376</v>
      </c>
      <c r="H68" s="6"/>
    </row>
    <row r="69" spans="1:8" x14ac:dyDescent="0.3">
      <c r="A69" t="s">
        <v>284</v>
      </c>
      <c r="B69" s="8"/>
      <c r="C69" t="s">
        <v>449</v>
      </c>
      <c r="D69" s="1" t="s">
        <v>376</v>
      </c>
      <c r="H69" s="6"/>
    </row>
    <row r="70" spans="1:8" x14ac:dyDescent="0.3">
      <c r="A70" t="s">
        <v>285</v>
      </c>
      <c r="B70" s="8"/>
      <c r="C70" t="s">
        <v>448</v>
      </c>
      <c r="H70" s="7"/>
    </row>
    <row r="71" spans="1:8" x14ac:dyDescent="0.3">
      <c r="A71" t="s">
        <v>286</v>
      </c>
      <c r="B71" s="8"/>
      <c r="C71" t="s">
        <v>447</v>
      </c>
      <c r="D71" s="1" t="s">
        <v>376</v>
      </c>
      <c r="H71" s="6"/>
    </row>
    <row r="72" spans="1:8" x14ac:dyDescent="0.3">
      <c r="A72" t="s">
        <v>287</v>
      </c>
      <c r="B72" s="8"/>
      <c r="C72" t="s">
        <v>446</v>
      </c>
      <c r="H72" s="6"/>
    </row>
    <row r="73" spans="1:8" x14ac:dyDescent="0.3">
      <c r="A73" t="s">
        <v>288</v>
      </c>
      <c r="B73" s="8"/>
      <c r="C73" t="s">
        <v>445</v>
      </c>
      <c r="H73" s="7"/>
    </row>
    <row r="74" spans="1:8" x14ac:dyDescent="0.3">
      <c r="A74" t="s">
        <v>289</v>
      </c>
      <c r="B74" s="8"/>
      <c r="C74" t="s">
        <v>444</v>
      </c>
      <c r="D74" s="1" t="s">
        <v>376</v>
      </c>
      <c r="H74" s="6"/>
    </row>
    <row r="75" spans="1:8" x14ac:dyDescent="0.3">
      <c r="A75" t="s">
        <v>290</v>
      </c>
      <c r="B75" s="8"/>
      <c r="C75" t="s">
        <v>443</v>
      </c>
      <c r="D75" s="1" t="s">
        <v>376</v>
      </c>
      <c r="H75" s="6"/>
    </row>
    <row r="76" spans="1:8" x14ac:dyDescent="0.3">
      <c r="D76" s="1">
        <f>COUNTIF(D2:D75,"=Y")</f>
        <v>48</v>
      </c>
      <c r="H76" s="7"/>
    </row>
    <row r="77" spans="1:8" x14ac:dyDescent="0.3">
      <c r="H77" s="6"/>
    </row>
    <row r="78" spans="1:8" x14ac:dyDescent="0.3">
      <c r="H78" s="6"/>
    </row>
    <row r="79" spans="1:8" x14ac:dyDescent="0.3">
      <c r="H79" s="7"/>
    </row>
    <row r="80" spans="1:8" x14ac:dyDescent="0.3">
      <c r="H80" s="6"/>
    </row>
    <row r="81" spans="8:8" x14ac:dyDescent="0.3">
      <c r="H81" s="6"/>
    </row>
    <row r="82" spans="8:8" x14ac:dyDescent="0.3">
      <c r="H82" s="6"/>
    </row>
    <row r="83" spans="8:8" x14ac:dyDescent="0.3">
      <c r="H83" s="6"/>
    </row>
    <row r="84" spans="8:8" x14ac:dyDescent="0.3">
      <c r="H84" s="6"/>
    </row>
    <row r="85" spans="8:8" x14ac:dyDescent="0.3">
      <c r="H85" s="6"/>
    </row>
    <row r="86" spans="8:8" x14ac:dyDescent="0.3">
      <c r="H86" s="6"/>
    </row>
    <row r="97" spans="8:8" x14ac:dyDescent="0.3">
      <c r="H97" s="7"/>
    </row>
    <row r="99" spans="8:8" x14ac:dyDescent="0.3">
      <c r="H99" s="6"/>
    </row>
    <row r="100" spans="8:8" x14ac:dyDescent="0.3">
      <c r="H100" s="7"/>
    </row>
    <row r="101" spans="8:8" x14ac:dyDescent="0.3">
      <c r="H101" s="6" t="s">
        <v>409</v>
      </c>
    </row>
    <row r="102" spans="8:8" x14ac:dyDescent="0.3">
      <c r="H102" s="6"/>
    </row>
    <row r="103" spans="8:8" x14ac:dyDescent="0.3">
      <c r="H103" s="7"/>
    </row>
    <row r="104" spans="8:8" x14ac:dyDescent="0.3">
      <c r="H104" s="6" t="s">
        <v>410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workbookViewId="0">
      <selection activeCell="C52" sqref="C52"/>
    </sheetView>
  </sheetViews>
  <sheetFormatPr defaultRowHeight="16.5" x14ac:dyDescent="0.3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371</v>
      </c>
      <c r="B1" s="1" t="s">
        <v>365</v>
      </c>
      <c r="C1" s="1" t="s">
        <v>366</v>
      </c>
      <c r="D1" s="1" t="s">
        <v>368</v>
      </c>
      <c r="E1" s="1" t="s">
        <v>367</v>
      </c>
    </row>
    <row r="2" spans="1:5" x14ac:dyDescent="0.3">
      <c r="A2" t="s">
        <v>291</v>
      </c>
      <c r="B2" s="8" t="s">
        <v>375</v>
      </c>
    </row>
    <row r="3" spans="1:5" x14ac:dyDescent="0.3">
      <c r="A3" t="s">
        <v>292</v>
      </c>
      <c r="B3" s="8"/>
    </row>
    <row r="4" spans="1:5" x14ac:dyDescent="0.3">
      <c r="A4" t="s">
        <v>293</v>
      </c>
      <c r="B4" s="8"/>
    </row>
    <row r="5" spans="1:5" x14ac:dyDescent="0.3">
      <c r="A5" t="s">
        <v>294</v>
      </c>
      <c r="B5" s="8"/>
    </row>
    <row r="6" spans="1:5" x14ac:dyDescent="0.3">
      <c r="A6" t="s">
        <v>295</v>
      </c>
      <c r="B6" s="8"/>
    </row>
    <row r="7" spans="1:5" x14ac:dyDescent="0.3">
      <c r="A7" t="s">
        <v>296</v>
      </c>
      <c r="B7" s="8"/>
    </row>
    <row r="8" spans="1:5" x14ac:dyDescent="0.3">
      <c r="A8" t="s">
        <v>297</v>
      </c>
      <c r="B8" s="8"/>
    </row>
    <row r="9" spans="1:5" x14ac:dyDescent="0.3">
      <c r="A9" t="s">
        <v>298</v>
      </c>
      <c r="B9" s="8"/>
    </row>
    <row r="10" spans="1:5" x14ac:dyDescent="0.3">
      <c r="A10" t="s">
        <v>299</v>
      </c>
      <c r="B10" s="8"/>
    </row>
    <row r="11" spans="1:5" x14ac:dyDescent="0.3">
      <c r="A11" t="s">
        <v>300</v>
      </c>
      <c r="B11" s="8"/>
    </row>
    <row r="12" spans="1:5" x14ac:dyDescent="0.3">
      <c r="A12" t="s">
        <v>301</v>
      </c>
      <c r="B12" s="8"/>
    </row>
    <row r="13" spans="1:5" x14ac:dyDescent="0.3">
      <c r="A13" t="s">
        <v>302</v>
      </c>
      <c r="B13" s="8"/>
    </row>
    <row r="14" spans="1:5" x14ac:dyDescent="0.3">
      <c r="A14" t="s">
        <v>303</v>
      </c>
      <c r="B14" s="8"/>
    </row>
    <row r="15" spans="1:5" x14ac:dyDescent="0.3">
      <c r="A15" t="s">
        <v>304</v>
      </c>
      <c r="B15" s="8"/>
    </row>
    <row r="16" spans="1:5" x14ac:dyDescent="0.3">
      <c r="A16" t="s">
        <v>305</v>
      </c>
      <c r="B16" s="8"/>
    </row>
    <row r="17" spans="1:2" x14ac:dyDescent="0.3">
      <c r="A17" t="s">
        <v>306</v>
      </c>
      <c r="B17" s="8"/>
    </row>
    <row r="18" spans="1:2" x14ac:dyDescent="0.3">
      <c r="A18" t="s">
        <v>307</v>
      </c>
      <c r="B18" s="8"/>
    </row>
    <row r="19" spans="1:2" x14ac:dyDescent="0.3">
      <c r="A19" t="s">
        <v>308</v>
      </c>
      <c r="B19" s="8"/>
    </row>
    <row r="20" spans="1:2" x14ac:dyDescent="0.3">
      <c r="A20" t="s">
        <v>309</v>
      </c>
      <c r="B20" s="8"/>
    </row>
    <row r="21" spans="1:2" x14ac:dyDescent="0.3">
      <c r="A21" t="s">
        <v>310</v>
      </c>
      <c r="B21" s="8"/>
    </row>
    <row r="22" spans="1:2" x14ac:dyDescent="0.3">
      <c r="A22" t="s">
        <v>311</v>
      </c>
      <c r="B22" s="8"/>
    </row>
    <row r="23" spans="1:2" x14ac:dyDescent="0.3">
      <c r="A23" t="s">
        <v>312</v>
      </c>
      <c r="B23" s="8"/>
    </row>
    <row r="24" spans="1:2" x14ac:dyDescent="0.3">
      <c r="A24" t="s">
        <v>313</v>
      </c>
      <c r="B24" s="8"/>
    </row>
    <row r="25" spans="1:2" x14ac:dyDescent="0.3">
      <c r="A25" t="s">
        <v>314</v>
      </c>
      <c r="B25" s="8"/>
    </row>
    <row r="26" spans="1:2" x14ac:dyDescent="0.3">
      <c r="A26" t="s">
        <v>315</v>
      </c>
      <c r="B26" s="8"/>
    </row>
    <row r="27" spans="1:2" x14ac:dyDescent="0.3">
      <c r="A27" t="s">
        <v>316</v>
      </c>
      <c r="B27" s="8"/>
    </row>
    <row r="28" spans="1:2" x14ac:dyDescent="0.3">
      <c r="A28" t="s">
        <v>317</v>
      </c>
      <c r="B28" s="8"/>
    </row>
    <row r="29" spans="1:2" x14ac:dyDescent="0.3">
      <c r="A29" t="s">
        <v>318</v>
      </c>
      <c r="B29" s="8"/>
    </row>
    <row r="30" spans="1:2" x14ac:dyDescent="0.3">
      <c r="A30" t="s">
        <v>319</v>
      </c>
      <c r="B30" s="8"/>
    </row>
    <row r="31" spans="1:2" x14ac:dyDescent="0.3">
      <c r="A31" t="s">
        <v>320</v>
      </c>
      <c r="B31" s="8"/>
    </row>
    <row r="32" spans="1:2" x14ac:dyDescent="0.3">
      <c r="A32" t="s">
        <v>321</v>
      </c>
      <c r="B32" s="8"/>
    </row>
    <row r="33" spans="1:2" x14ac:dyDescent="0.3">
      <c r="A33" t="s">
        <v>322</v>
      </c>
      <c r="B33" s="8"/>
    </row>
    <row r="34" spans="1:2" x14ac:dyDescent="0.3">
      <c r="A34" t="s">
        <v>323</v>
      </c>
      <c r="B34" s="8"/>
    </row>
    <row r="35" spans="1:2" x14ac:dyDescent="0.3">
      <c r="A35" t="s">
        <v>324</v>
      </c>
      <c r="B35" s="8"/>
    </row>
    <row r="36" spans="1:2" x14ac:dyDescent="0.3">
      <c r="A36" t="s">
        <v>325</v>
      </c>
      <c r="B36" s="8"/>
    </row>
    <row r="37" spans="1:2" x14ac:dyDescent="0.3">
      <c r="A37" t="s">
        <v>326</v>
      </c>
      <c r="B37" s="8"/>
    </row>
    <row r="38" spans="1:2" x14ac:dyDescent="0.3">
      <c r="A38" t="s">
        <v>327</v>
      </c>
      <c r="B38" s="8"/>
    </row>
    <row r="39" spans="1:2" x14ac:dyDescent="0.3">
      <c r="A39" t="s">
        <v>328</v>
      </c>
      <c r="B39" s="8"/>
    </row>
    <row r="40" spans="1:2" x14ac:dyDescent="0.3">
      <c r="A40" t="s">
        <v>329</v>
      </c>
      <c r="B40" s="8"/>
    </row>
    <row r="41" spans="1:2" x14ac:dyDescent="0.3">
      <c r="A41" t="s">
        <v>330</v>
      </c>
      <c r="B41" s="8"/>
    </row>
    <row r="42" spans="1:2" x14ac:dyDescent="0.3">
      <c r="A42" t="s">
        <v>331</v>
      </c>
      <c r="B42" s="8"/>
    </row>
    <row r="43" spans="1:2" x14ac:dyDescent="0.3">
      <c r="A43" t="s">
        <v>332</v>
      </c>
      <c r="B43" s="8"/>
    </row>
    <row r="44" spans="1:2" x14ac:dyDescent="0.3">
      <c r="A44" t="s">
        <v>333</v>
      </c>
      <c r="B44" s="8"/>
    </row>
    <row r="45" spans="1:2" x14ac:dyDescent="0.3">
      <c r="A45" t="s">
        <v>334</v>
      </c>
      <c r="B45" s="8"/>
    </row>
    <row r="46" spans="1:2" x14ac:dyDescent="0.3">
      <c r="A46" t="s">
        <v>335</v>
      </c>
      <c r="B46" s="8"/>
    </row>
    <row r="47" spans="1:2" x14ac:dyDescent="0.3">
      <c r="A47" t="s">
        <v>336</v>
      </c>
      <c r="B47" s="8"/>
    </row>
    <row r="48" spans="1:2" x14ac:dyDescent="0.3">
      <c r="A48" t="s">
        <v>337</v>
      </c>
      <c r="B48" s="8"/>
    </row>
    <row r="49" spans="1:2" x14ac:dyDescent="0.3">
      <c r="A49" t="s">
        <v>338</v>
      </c>
      <c r="B49" s="8"/>
    </row>
    <row r="50" spans="1:2" x14ac:dyDescent="0.3">
      <c r="A50" t="s">
        <v>339</v>
      </c>
      <c r="B50" s="8"/>
    </row>
    <row r="51" spans="1:2" x14ac:dyDescent="0.3">
      <c r="A51" t="s">
        <v>340</v>
      </c>
      <c r="B51" s="8"/>
    </row>
    <row r="52" spans="1:2" x14ac:dyDescent="0.3">
      <c r="A52" t="s">
        <v>341</v>
      </c>
      <c r="B52" s="8"/>
    </row>
    <row r="53" spans="1:2" x14ac:dyDescent="0.3">
      <c r="A53" t="s">
        <v>342</v>
      </c>
      <c r="B53" s="8"/>
    </row>
    <row r="54" spans="1:2" x14ac:dyDescent="0.3">
      <c r="A54" t="s">
        <v>343</v>
      </c>
      <c r="B54" s="8"/>
    </row>
    <row r="55" spans="1:2" x14ac:dyDescent="0.3">
      <c r="A55" t="s">
        <v>344</v>
      </c>
      <c r="B55" s="8"/>
    </row>
    <row r="56" spans="1:2" x14ac:dyDescent="0.3">
      <c r="A56" t="s">
        <v>345</v>
      </c>
      <c r="B56" s="8"/>
    </row>
    <row r="57" spans="1:2" x14ac:dyDescent="0.3">
      <c r="A57" t="s">
        <v>346</v>
      </c>
      <c r="B57" s="8"/>
    </row>
    <row r="58" spans="1:2" x14ac:dyDescent="0.3">
      <c r="A58" t="s">
        <v>347</v>
      </c>
      <c r="B58" s="8"/>
    </row>
    <row r="59" spans="1:2" x14ac:dyDescent="0.3">
      <c r="A59" t="s">
        <v>348</v>
      </c>
      <c r="B59" s="8"/>
    </row>
    <row r="60" spans="1:2" x14ac:dyDescent="0.3">
      <c r="A60" t="s">
        <v>349</v>
      </c>
      <c r="B60" s="8"/>
    </row>
    <row r="61" spans="1:2" x14ac:dyDescent="0.3">
      <c r="A61" t="s">
        <v>350</v>
      </c>
      <c r="B61" s="8"/>
    </row>
    <row r="62" spans="1:2" x14ac:dyDescent="0.3">
      <c r="A62" t="s">
        <v>351</v>
      </c>
      <c r="B62" s="8"/>
    </row>
    <row r="63" spans="1:2" x14ac:dyDescent="0.3">
      <c r="A63" t="s">
        <v>352</v>
      </c>
      <c r="B63" s="8"/>
    </row>
    <row r="64" spans="1:2" x14ac:dyDescent="0.3">
      <c r="A64" t="s">
        <v>353</v>
      </c>
      <c r="B64" s="8"/>
    </row>
    <row r="65" spans="1:4" x14ac:dyDescent="0.3">
      <c r="A65" t="s">
        <v>354</v>
      </c>
      <c r="B65" s="8"/>
    </row>
    <row r="66" spans="1:4" x14ac:dyDescent="0.3">
      <c r="A66" t="s">
        <v>355</v>
      </c>
      <c r="B66" s="8"/>
    </row>
    <row r="67" spans="1:4" x14ac:dyDescent="0.3">
      <c r="A67" t="s">
        <v>356</v>
      </c>
      <c r="B67" s="8"/>
    </row>
    <row r="68" spans="1:4" x14ac:dyDescent="0.3">
      <c r="A68" t="s">
        <v>357</v>
      </c>
      <c r="B68" s="8"/>
    </row>
    <row r="69" spans="1:4" x14ac:dyDescent="0.3">
      <c r="A69" t="s">
        <v>358</v>
      </c>
      <c r="B69" s="8"/>
    </row>
    <row r="70" spans="1:4" x14ac:dyDescent="0.3">
      <c r="A70" t="s">
        <v>359</v>
      </c>
      <c r="B70" s="8"/>
    </row>
    <row r="71" spans="1:4" x14ac:dyDescent="0.3">
      <c r="A71" t="s">
        <v>360</v>
      </c>
      <c r="B71" s="8"/>
    </row>
    <row r="72" spans="1:4" x14ac:dyDescent="0.3">
      <c r="A72" t="s">
        <v>361</v>
      </c>
      <c r="B72" s="8"/>
    </row>
    <row r="73" spans="1:4" x14ac:dyDescent="0.3">
      <c r="A73" t="s">
        <v>362</v>
      </c>
      <c r="B73" s="8"/>
    </row>
    <row r="74" spans="1:4" x14ac:dyDescent="0.3">
      <c r="A74" t="s">
        <v>363</v>
      </c>
      <c r="B74" s="8"/>
    </row>
    <row r="75" spans="1:4" x14ac:dyDescent="0.3">
      <c r="A75" t="s">
        <v>364</v>
      </c>
      <c r="B75" s="8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2025-11-18T07:59:10Z</dcterms:created>
  <dcterms:modified xsi:type="dcterms:W3CDTF">2025-11-19T10:01:18Z</dcterms:modified>
</cp:coreProperties>
</file>