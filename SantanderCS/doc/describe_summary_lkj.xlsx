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13_ncr:1_{58FBAB19-3938-4C49-A8E6-14E670E971CB}" xr6:coauthVersionLast="47" xr6:coauthVersionMax="47" xr10:uidLastSave="{00000000-0000-0000-0000-000000000000}"/>
  <bookViews>
    <workbookView xWindow="-120" yWindow="-120" windowWidth="29040" windowHeight="15840" activeTab="1" xr2:uid="{052BFD95-ADC5-4D7C-BDBD-705BDEF23884}"/>
  </bookViews>
  <sheets>
    <sheet name="describe_summary" sheetId="1" r:id="rId1"/>
    <sheet name="LKJ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4" i="2" l="1"/>
  <c r="AO14" i="2"/>
  <c r="AD14" i="2"/>
  <c r="F14" i="2"/>
  <c r="E14" i="2"/>
  <c r="AP13" i="2"/>
  <c r="AP15" i="2" s="1"/>
  <c r="F13" i="2"/>
  <c r="F15" i="2" s="1"/>
  <c r="BW12" i="2"/>
  <c r="BW14" i="2" s="1"/>
  <c r="BV12" i="2"/>
  <c r="BV14" i="2" s="1"/>
  <c r="BU12" i="2"/>
  <c r="BU14" i="2" s="1"/>
  <c r="BT12" i="2"/>
  <c r="BT14" i="2" s="1"/>
  <c r="BS12" i="2"/>
  <c r="BS14" i="2" s="1"/>
  <c r="BR12" i="2"/>
  <c r="BR14" i="2" s="1"/>
  <c r="BQ12" i="2"/>
  <c r="BQ14" i="2" s="1"/>
  <c r="BP12" i="2"/>
  <c r="BP14" i="2" s="1"/>
  <c r="BO12" i="2"/>
  <c r="BO13" i="2" s="1"/>
  <c r="BN12" i="2"/>
  <c r="BN14" i="2" s="1"/>
  <c r="BM12" i="2"/>
  <c r="BM13" i="2" s="1"/>
  <c r="BL12" i="2"/>
  <c r="BL14" i="2" s="1"/>
  <c r="BK12" i="2"/>
  <c r="BK14" i="2" s="1"/>
  <c r="BJ12" i="2"/>
  <c r="BJ14" i="2" s="1"/>
  <c r="BI12" i="2"/>
  <c r="BI14" i="2" s="1"/>
  <c r="BH12" i="2"/>
  <c r="BH14" i="2" s="1"/>
  <c r="BG12" i="2"/>
  <c r="BG14" i="2" s="1"/>
  <c r="BF12" i="2"/>
  <c r="BF14" i="2" s="1"/>
  <c r="BE12" i="2"/>
  <c r="BE14" i="2" s="1"/>
  <c r="BD12" i="2"/>
  <c r="BD14" i="2" s="1"/>
  <c r="BC12" i="2"/>
  <c r="BC13" i="2" s="1"/>
  <c r="BB12" i="2"/>
  <c r="BB14" i="2" s="1"/>
  <c r="BA12" i="2"/>
  <c r="BA13" i="2" s="1"/>
  <c r="AZ12" i="2"/>
  <c r="AZ14" i="2" s="1"/>
  <c r="AY12" i="2"/>
  <c r="AY14" i="2" s="1"/>
  <c r="AX12" i="2"/>
  <c r="AX14" i="2" s="1"/>
  <c r="AW12" i="2"/>
  <c r="AW14" i="2" s="1"/>
  <c r="AV12" i="2"/>
  <c r="AV14" i="2" s="1"/>
  <c r="AU12" i="2"/>
  <c r="AU14" i="2" s="1"/>
  <c r="AT12" i="2"/>
  <c r="AT14" i="2" s="1"/>
  <c r="AS12" i="2"/>
  <c r="AS14" i="2" s="1"/>
  <c r="AR12" i="2"/>
  <c r="AR14" i="2" s="1"/>
  <c r="AQ12" i="2"/>
  <c r="AQ14" i="2" s="1"/>
  <c r="AP12" i="2"/>
  <c r="AO12" i="2"/>
  <c r="AO13" i="2" s="1"/>
  <c r="AO15" i="2" s="1"/>
  <c r="AN12" i="2"/>
  <c r="AN14" i="2" s="1"/>
  <c r="AM12" i="2"/>
  <c r="AM14" i="2" s="1"/>
  <c r="AL12" i="2"/>
  <c r="AL14" i="2" s="1"/>
  <c r="AK12" i="2"/>
  <c r="AK14" i="2" s="1"/>
  <c r="AJ12" i="2"/>
  <c r="AJ14" i="2" s="1"/>
  <c r="AI12" i="2"/>
  <c r="AI14" i="2" s="1"/>
  <c r="AH12" i="2"/>
  <c r="AH14" i="2" s="1"/>
  <c r="AG12" i="2"/>
  <c r="AG14" i="2" s="1"/>
  <c r="AF12" i="2"/>
  <c r="AF14" i="2" s="1"/>
  <c r="AE12" i="2"/>
  <c r="AE13" i="2" s="1"/>
  <c r="AD12" i="2"/>
  <c r="AD13" i="2" s="1"/>
  <c r="AD15" i="2" s="1"/>
  <c r="AC12" i="2"/>
  <c r="AC13" i="2" s="1"/>
  <c r="AB12" i="2"/>
  <c r="AB14" i="2" s="1"/>
  <c r="AA12" i="2"/>
  <c r="AA14" i="2" s="1"/>
  <c r="Z12" i="2"/>
  <c r="Z14" i="2" s="1"/>
  <c r="Y12" i="2"/>
  <c r="Y14" i="2" s="1"/>
  <c r="X12" i="2"/>
  <c r="X14" i="2" s="1"/>
  <c r="W12" i="2"/>
  <c r="W14" i="2" s="1"/>
  <c r="V12" i="2"/>
  <c r="V14" i="2" s="1"/>
  <c r="U12" i="2"/>
  <c r="U14" i="2" s="1"/>
  <c r="T12" i="2"/>
  <c r="T14" i="2" s="1"/>
  <c r="S12" i="2"/>
  <c r="S13" i="2" s="1"/>
  <c r="R12" i="2"/>
  <c r="R14" i="2" s="1"/>
  <c r="Q12" i="2"/>
  <c r="Q13" i="2" s="1"/>
  <c r="P12" i="2"/>
  <c r="P14" i="2" s="1"/>
  <c r="O12" i="2"/>
  <c r="O14" i="2" s="1"/>
  <c r="N12" i="2"/>
  <c r="N14" i="2" s="1"/>
  <c r="M12" i="2"/>
  <c r="M14" i="2" s="1"/>
  <c r="L12" i="2"/>
  <c r="L14" i="2" s="1"/>
  <c r="K12" i="2"/>
  <c r="K14" i="2" s="1"/>
  <c r="J12" i="2"/>
  <c r="J14" i="2" s="1"/>
  <c r="I12" i="2"/>
  <c r="I14" i="2" s="1"/>
  <c r="H12" i="2"/>
  <c r="H14" i="2" s="1"/>
  <c r="G12" i="2"/>
  <c r="G13" i="2" s="1"/>
  <c r="F12" i="2"/>
  <c r="E12" i="2"/>
  <c r="E13" i="2" s="1"/>
  <c r="E15" i="2" s="1"/>
  <c r="D12" i="2"/>
  <c r="D14" i="2" s="1"/>
  <c r="C12" i="2"/>
  <c r="C14" i="2" s="1"/>
  <c r="B12" i="2"/>
  <c r="B14" i="2" s="1"/>
  <c r="I13" i="2" l="1"/>
  <c r="I15" i="2" s="1"/>
  <c r="R13" i="2"/>
  <c r="R15" i="2" s="1"/>
  <c r="Q14" i="2"/>
  <c r="Q15" i="2" s="1"/>
  <c r="U13" i="2"/>
  <c r="U15" i="2" s="1"/>
  <c r="AC14" i="2"/>
  <c r="AC15" i="2" s="1"/>
  <c r="AG13" i="2"/>
  <c r="AG15" i="2" s="1"/>
  <c r="AS13" i="2"/>
  <c r="AS15" i="2" s="1"/>
  <c r="BB13" i="2"/>
  <c r="BB15" i="2" s="1"/>
  <c r="BA14" i="2"/>
  <c r="BA15" i="2" s="1"/>
  <c r="B13" i="2"/>
  <c r="B15" i="2" s="1"/>
  <c r="BE13" i="2"/>
  <c r="BE15" i="2" s="1"/>
  <c r="BN13" i="2"/>
  <c r="BN15" i="2" s="1"/>
  <c r="BM14" i="2"/>
  <c r="BM15" i="2" s="1"/>
  <c r="BQ13" i="2"/>
  <c r="BQ15" i="2" s="1"/>
  <c r="AQ13" i="2"/>
  <c r="AQ15" i="2" s="1"/>
  <c r="H13" i="2"/>
  <c r="H15" i="2" s="1"/>
  <c r="T13" i="2"/>
  <c r="T15" i="2" s="1"/>
  <c r="AF13" i="2"/>
  <c r="AF15" i="2" s="1"/>
  <c r="AR13" i="2"/>
  <c r="AR15" i="2" s="1"/>
  <c r="BD13" i="2"/>
  <c r="BD15" i="2" s="1"/>
  <c r="BP13" i="2"/>
  <c r="BP15" i="2" s="1"/>
  <c r="G14" i="2"/>
  <c r="G15" i="2" s="1"/>
  <c r="S14" i="2"/>
  <c r="S15" i="2" s="1"/>
  <c r="AE14" i="2"/>
  <c r="AE15" i="2" s="1"/>
  <c r="BC14" i="2"/>
  <c r="BC15" i="2" s="1"/>
  <c r="BO14" i="2"/>
  <c r="BO15" i="2" s="1"/>
  <c r="J13" i="2"/>
  <c r="J15" i="2" s="1"/>
  <c r="V13" i="2"/>
  <c r="V15" i="2" s="1"/>
  <c r="AH13" i="2"/>
  <c r="AH15" i="2" s="1"/>
  <c r="AT13" i="2"/>
  <c r="AT15" i="2" s="1"/>
  <c r="BF13" i="2"/>
  <c r="BF15" i="2" s="1"/>
  <c r="BR13" i="2"/>
  <c r="BR15" i="2" s="1"/>
  <c r="K13" i="2"/>
  <c r="K15" i="2" s="1"/>
  <c r="W13" i="2"/>
  <c r="W15" i="2" s="1"/>
  <c r="AI13" i="2"/>
  <c r="AI15" i="2" s="1"/>
  <c r="AU13" i="2"/>
  <c r="AU15" i="2" s="1"/>
  <c r="BG13" i="2"/>
  <c r="BG15" i="2" s="1"/>
  <c r="BS13" i="2"/>
  <c r="BS15" i="2" s="1"/>
  <c r="L13" i="2"/>
  <c r="L15" i="2" s="1"/>
  <c r="X13" i="2"/>
  <c r="X15" i="2" s="1"/>
  <c r="AJ13" i="2"/>
  <c r="AJ15" i="2" s="1"/>
  <c r="AV13" i="2"/>
  <c r="AV15" i="2" s="1"/>
  <c r="BH13" i="2"/>
  <c r="BH15" i="2" s="1"/>
  <c r="BT13" i="2"/>
  <c r="BT15" i="2" s="1"/>
  <c r="M13" i="2"/>
  <c r="M15" i="2" s="1"/>
  <c r="Y13" i="2"/>
  <c r="Y15" i="2" s="1"/>
  <c r="AK13" i="2"/>
  <c r="AK15" i="2" s="1"/>
  <c r="AW13" i="2"/>
  <c r="AW15" i="2" s="1"/>
  <c r="BI13" i="2"/>
  <c r="BI15" i="2" s="1"/>
  <c r="BU13" i="2"/>
  <c r="BU15" i="2" s="1"/>
  <c r="N13" i="2"/>
  <c r="N15" i="2" s="1"/>
  <c r="Z13" i="2"/>
  <c r="Z15" i="2" s="1"/>
  <c r="AL13" i="2"/>
  <c r="AL15" i="2" s="1"/>
  <c r="AX13" i="2"/>
  <c r="AX15" i="2" s="1"/>
  <c r="BJ13" i="2"/>
  <c r="BJ15" i="2" s="1"/>
  <c r="BV13" i="2"/>
  <c r="BV15" i="2" s="1"/>
  <c r="C13" i="2"/>
  <c r="C15" i="2" s="1"/>
  <c r="O13" i="2"/>
  <c r="O15" i="2" s="1"/>
  <c r="AA13" i="2"/>
  <c r="AA15" i="2" s="1"/>
  <c r="AM13" i="2"/>
  <c r="AM15" i="2" s="1"/>
  <c r="AY13" i="2"/>
  <c r="AY15" i="2" s="1"/>
  <c r="BK13" i="2"/>
  <c r="BK15" i="2" s="1"/>
  <c r="BW13" i="2"/>
  <c r="BW15" i="2" s="1"/>
  <c r="D13" i="2"/>
  <c r="D15" i="2" s="1"/>
  <c r="P13" i="2"/>
  <c r="P15" i="2" s="1"/>
  <c r="AB13" i="2"/>
  <c r="AB15" i="2" s="1"/>
  <c r="AN13" i="2"/>
  <c r="AN15" i="2" s="1"/>
  <c r="AZ13" i="2"/>
  <c r="AZ15" i="2" s="1"/>
  <c r="BL13" i="2"/>
  <c r="BL15" i="2" s="1"/>
</calcChain>
</file>

<file path=xl/sharedStrings.xml><?xml version="1.0" encoding="utf-8"?>
<sst xmlns="http://schemas.openxmlformats.org/spreadsheetml/2006/main" count="542" uniqueCount="396">
  <si>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</si>
  <si>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</si>
  <si>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</si>
  <si>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</si>
  <si>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</si>
  <si>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</si>
  <si>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</si>
  <si>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</si>
  <si>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</si>
  <si>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</si>
  <si>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</si>
  <si>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</si>
  <si>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</si>
  <si>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</si>
  <si>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</si>
  <si>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</si>
  <si>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</si>
  <si>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</si>
  <si>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</si>
  <si>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</si>
  <si>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</si>
  <si>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</si>
  <si>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</si>
  <si>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</si>
  <si>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</si>
  <si>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</si>
  <si>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</si>
  <si>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</si>
  <si>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</si>
  <si>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</si>
  <si>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</si>
  <si>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</si>
  <si>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</si>
  <si>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</si>
  <si>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</si>
  <si>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</si>
  <si>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</si>
  <si>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</si>
  <si>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</si>
  <si>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</si>
  <si>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</si>
  <si>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</si>
  <si>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</si>
  <si>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</si>
  <si>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</si>
  <si>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</si>
  <si>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</si>
  <si>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</si>
  <si>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</si>
  <si>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</si>
  <si>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</si>
  <si>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</si>
  <si>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</si>
  <si>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</si>
  <si>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</si>
  <si>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</si>
  <si>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</si>
  <si>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</si>
  <si>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</si>
  <si>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</si>
  <si>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</si>
  <si>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</si>
  <si>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</si>
  <si>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</si>
  <si>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</si>
  <si>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</si>
  <si>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</si>
  <si>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</si>
  <si>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</si>
  <si>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</si>
  <si>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</si>
  <si>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ind_var34_0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</si>
  <si>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</si>
  <si>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</si>
  <si>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</si>
  <si>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</si>
  <si>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</si>
  <si>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</si>
  <si>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</si>
  <si>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</si>
  <si>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</si>
  <si>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</si>
  <si>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</si>
  <si>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</si>
  <si>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</si>
  <si>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</si>
  <si>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</si>
  <si>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</si>
  <si>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</si>
  <si>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</si>
  <si>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</si>
  <si>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</si>
  <si>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</si>
  <si>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</si>
  <si>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</si>
  <si>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</si>
  <si>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</si>
  <si>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</si>
  <si>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</si>
  <si>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</si>
  <si>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</si>
  <si>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</si>
  <si>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</si>
  <si>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</si>
  <si>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</si>
  <si>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</si>
  <si>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</si>
  <si>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</si>
  <si>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</si>
  <si>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</si>
  <si>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</si>
  <si>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</si>
  <si>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</si>
  <si>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</si>
  <si>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</si>
  <si>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</si>
  <si>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</si>
  <si>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</si>
  <si>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</si>
  <si>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</si>
  <si>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</si>
  <si>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</si>
  <si>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</si>
  <si>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</si>
  <si>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</si>
  <si>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</si>
  <si>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</si>
  <si>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</si>
  <si>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</si>
  <si>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</si>
  <si>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</si>
  <si>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</si>
  <si>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</si>
  <si>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</si>
  <si>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</si>
  <si>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</si>
  <si>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</si>
  <si>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</si>
  <si>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</si>
  <si>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</si>
  <si>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</si>
  <si>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</si>
  <si>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</si>
  <si>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</si>
  <si>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</si>
  <si>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</si>
  <si>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</si>
  <si>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</si>
  <si>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</si>
  <si>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</si>
  <si>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</si>
  <si>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</si>
  <si>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</si>
  <si>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</si>
  <si>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</si>
  <si>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</si>
  <si>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</si>
  <si>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</si>
  <si>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</si>
  <si>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</si>
  <si>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</si>
  <si>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</si>
  <si>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</si>
  <si>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</si>
  <si>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</si>
  <si>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</si>
  <si>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</si>
  <si>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</si>
  <si>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</si>
  <si>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</si>
  <si>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</si>
  <si>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</si>
  <si>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</si>
  <si>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</si>
  <si>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</si>
  <si>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</si>
  <si>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</si>
  <si>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</si>
  <si>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</si>
  <si>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</si>
  <si>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</si>
  <si>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</si>
  <si>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</si>
  <si>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</si>
  <si>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</si>
  <si>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</si>
  <si>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</si>
  <si>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</si>
  <si>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</si>
  <si>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</si>
  <si>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</si>
  <si>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</si>
  <si>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</si>
  <si>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</si>
  <si>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</si>
  <si>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</si>
  <si>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</si>
  <si>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</si>
  <si>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</si>
  <si>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</si>
  <si>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</si>
  <si>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</si>
  <si>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</si>
  <si>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</si>
  <si>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</si>
  <si>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</si>
  <si>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</si>
  <si>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</si>
  <si>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</si>
  <si>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</si>
  <si>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</si>
  <si>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</si>
  <si>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</si>
  <si>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</si>
  <si>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</si>
  <si>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</si>
  <si>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</si>
  <si>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</si>
  <si>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</si>
  <si>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</si>
  <si>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</si>
  <si>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imp_amort_var18_ult1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</si>
  <si>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</si>
  <si>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</si>
  <si>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</si>
  <si>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</si>
  <si>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</si>
  <si>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</si>
  <si>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</si>
  <si>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</si>
  <si>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</si>
  <si>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</si>
  <si>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</si>
  <si>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</si>
  <si>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</si>
  <si>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</si>
  <si>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</si>
  <si>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</si>
  <si>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</si>
  <si>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</si>
  <si>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imp_var43_emit_ult1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</si>
  <si>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</si>
  <si>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</si>
  <si>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</si>
  <si>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</si>
  <si>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</si>
  <si>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</si>
  <si>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imp_trasp_var33_in_ult1</t>
  </si>
  <si>
    <t>imp_trasp_var33_out_hace3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</si>
  <si>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</si>
  <si>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</si>
  <si>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</si>
  <si>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</si>
  <si>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</si>
  <si>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</si>
  <si>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</si>
  <si>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</si>
  <si>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</si>
  <si>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</si>
  <si>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</si>
  <si>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</si>
  <si>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</si>
  <si>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</si>
  <si>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</si>
  <si>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</si>
  <si>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</si>
  <si>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</si>
  <si>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</si>
  <si>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</si>
  <si>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</si>
  <si>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</si>
  <si>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</si>
  <si>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</si>
  <si>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</si>
  <si>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</si>
  <si>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</si>
  <si>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</si>
  <si>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</si>
  <si>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</si>
  <si>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</si>
  <si>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</si>
  <si>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</si>
  <si>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</si>
  <si>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</si>
  <si>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</si>
  <si>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</si>
  <si>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</si>
  <si>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</si>
  <si>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</si>
  <si>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</si>
  <si>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</si>
  <si>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</si>
  <si>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</si>
  <si>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</si>
  <si>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</si>
  <si>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</si>
  <si>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</si>
  <si>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</si>
  <si>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</si>
  <si>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</si>
  <si>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</si>
  <si>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</si>
  <si>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</si>
  <si>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</si>
  <si>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</si>
  <si>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</si>
  <si>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</si>
  <si>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</si>
  <si>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</si>
  <si>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</si>
  <si>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</si>
  <si>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</si>
  <si>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</si>
  <si>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</si>
  <si>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</si>
  <si>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</si>
  <si>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</si>
  <si>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</si>
  <si>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</si>
  <si>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</si>
  <si>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</si>
  <si>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</si>
  <si>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</si>
  <si>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</si>
  <si>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</si>
  <si>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</si>
  <si>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</si>
  <si>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</si>
  <si>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</si>
  <si>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</si>
  <si>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</si>
  <si>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</si>
  <si>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</si>
  <si>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</si>
  <si>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</si>
  <si>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</si>
  <si>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</si>
  <si>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</si>
  <si>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</si>
  <si>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</si>
  <si>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</si>
  <si>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</si>
  <si>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</si>
  <si>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</si>
  <si>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</si>
  <si>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</si>
  <si>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</si>
  <si>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</si>
  <si>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</si>
  <si>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</si>
  <si>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</si>
  <si>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</si>
  <si>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</si>
  <si>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</si>
  <si>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</si>
  <si>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</si>
  <si>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</si>
  <si>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</si>
  <si>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</si>
  <si>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</si>
  <si>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</si>
  <si>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</si>
  <si>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</si>
  <si>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</si>
  <si>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</si>
  <si>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</si>
  <si>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</si>
  <si>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</si>
  <si>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</si>
  <si>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TARGET</t>
  </si>
  <si>
    <t>count</t>
  </si>
  <si>
    <t>mean</t>
  </si>
  <si>
    <t>std</t>
  </si>
  <si>
    <t>min</t>
  </si>
  <si>
    <t>max</t>
  </si>
  <si>
    <t>이상치</t>
    <phoneticPr fontId="18" type="noConversion"/>
  </si>
  <si>
    <t>IQR</t>
    <phoneticPr fontId="18" type="noConversion"/>
  </si>
  <si>
    <t>하한값</t>
    <phoneticPr fontId="18" type="noConversion"/>
  </si>
  <si>
    <t>상한값</t>
    <phoneticPr fontId="18" type="noConversion"/>
  </si>
  <si>
    <t>num_var44_0</t>
    <phoneticPr fontId="18" type="noConversion"/>
  </si>
  <si>
    <t>파악한 특성</t>
    <phoneticPr fontId="18" type="noConversion"/>
  </si>
  <si>
    <t>삭제여부(Y/N)</t>
    <phoneticPr fontId="18" type="noConversion"/>
  </si>
  <si>
    <t>fillna할 값</t>
    <phoneticPr fontId="18" type="noConversion"/>
  </si>
  <si>
    <t>Y</t>
    <phoneticPr fontId="18" type="noConversion"/>
  </si>
  <si>
    <t>imp_sal_var16_ult1</t>
    <phoneticPr fontId="18" type="noConversion"/>
  </si>
  <si>
    <t>`</t>
    <phoneticPr fontId="18" type="noConversion"/>
  </si>
  <si>
    <t>거래횟수</t>
    <phoneticPr fontId="18" type="noConversion"/>
  </si>
  <si>
    <t>num_var41</t>
    <phoneticPr fontId="18" type="noConversion"/>
  </si>
  <si>
    <t>na_Sum</t>
  </si>
  <si>
    <t>nUnique</t>
  </si>
  <si>
    <t>mode</t>
  </si>
  <si>
    <t>modeFreq</t>
  </si>
  <si>
    <t>modeFreqRate</t>
  </si>
  <si>
    <t>zero_count</t>
  </si>
  <si>
    <t>zero_count_rate</t>
  </si>
  <si>
    <t>거래횟수 - zero_count &gt; 95% 이상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</si>
</sst>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33" borderId="0" xfId="0" applyFill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center" vertical="center"/>
    </xf>
    <xf numFmtId="10" fontId="0" fillId="0" borderId="0" xfId="0" applyNumberFormat="1">
      <alignment vertical="center"/>
    </xf>
    <xf numFmtId="10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FB52-F36D-4391-9B26-8CCAAE32D761}">
  <dimension ref="A1:NH9"/>
  <sheetViews>
    <sheetView workbookViewId="0">
      <selection activeCell="R15" sqref="R15"/>
    </sheetView>
  </sheetViews>
  <sheetFormatPr defaultRowHeight="16.5" x14ac:dyDescent="0.3"/>
  <cols>
    <col min="2" max="20" width="9" customWidth="1"/>
    <col min="21" max="21" width="17.75" bestFit="1" customWidth="1"/>
    <col min="22" max="149" width="9" customWidth="1"/>
  </cols>
  <sheetData>
    <row r="1" spans="1:37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384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</row>
    <row r="2" spans="1:372" hidden="1" x14ac:dyDescent="0.3">
      <c r="A2" t="s">
        <v>370</v>
      </c>
      <c r="B2">
        <v>76020</v>
      </c>
      <c r="C2">
        <v>76020</v>
      </c>
      <c r="D2">
        <v>76020</v>
      </c>
      <c r="E2">
        <v>76020</v>
      </c>
      <c r="F2">
        <v>76020</v>
      </c>
      <c r="G2">
        <v>76020</v>
      </c>
      <c r="H2">
        <v>76020</v>
      </c>
      <c r="I2">
        <v>76020</v>
      </c>
      <c r="J2">
        <v>76020</v>
      </c>
      <c r="K2">
        <v>76020</v>
      </c>
      <c r="L2">
        <v>76020</v>
      </c>
      <c r="M2">
        <v>76020</v>
      </c>
      <c r="N2">
        <v>76020</v>
      </c>
      <c r="O2">
        <v>76020</v>
      </c>
      <c r="P2">
        <v>76020</v>
      </c>
      <c r="Q2">
        <v>76020</v>
      </c>
      <c r="R2">
        <v>76020</v>
      </c>
      <c r="S2">
        <v>76020</v>
      </c>
      <c r="T2">
        <v>76020</v>
      </c>
      <c r="U2">
        <v>76020</v>
      </c>
      <c r="V2">
        <v>76020</v>
      </c>
      <c r="W2">
        <v>76020</v>
      </c>
      <c r="X2">
        <v>76020</v>
      </c>
      <c r="Y2">
        <v>76020</v>
      </c>
      <c r="Z2">
        <v>76020</v>
      </c>
      <c r="AA2">
        <v>76020</v>
      </c>
      <c r="AB2">
        <v>76020</v>
      </c>
      <c r="AC2">
        <v>76020</v>
      </c>
      <c r="AD2">
        <v>76020</v>
      </c>
      <c r="AE2">
        <v>76020</v>
      </c>
      <c r="AF2">
        <v>76020</v>
      </c>
      <c r="AG2">
        <v>76020</v>
      </c>
      <c r="AH2">
        <v>76020</v>
      </c>
      <c r="AI2">
        <v>76020</v>
      </c>
      <c r="AJ2">
        <v>76020</v>
      </c>
      <c r="AK2">
        <v>76020</v>
      </c>
      <c r="AL2">
        <v>76020</v>
      </c>
      <c r="AM2">
        <v>76020</v>
      </c>
      <c r="AN2">
        <v>76020</v>
      </c>
      <c r="AO2">
        <v>76020</v>
      </c>
      <c r="AP2">
        <v>76020</v>
      </c>
      <c r="AQ2">
        <v>76020</v>
      </c>
      <c r="AR2">
        <v>76020</v>
      </c>
      <c r="AS2">
        <v>76020</v>
      </c>
      <c r="AT2">
        <v>76020</v>
      </c>
      <c r="AU2">
        <v>76020</v>
      </c>
      <c r="AV2">
        <v>76020</v>
      </c>
      <c r="AW2">
        <v>76020</v>
      </c>
      <c r="AX2">
        <v>76020</v>
      </c>
      <c r="AY2">
        <v>76020</v>
      </c>
      <c r="AZ2">
        <v>76020</v>
      </c>
      <c r="BA2">
        <v>76020</v>
      </c>
      <c r="BB2">
        <v>76020</v>
      </c>
      <c r="BC2">
        <v>76020</v>
      </c>
      <c r="BD2">
        <v>76020</v>
      </c>
      <c r="BE2">
        <v>76020</v>
      </c>
      <c r="BF2">
        <v>76020</v>
      </c>
      <c r="BG2">
        <v>76020</v>
      </c>
      <c r="BH2">
        <v>76020</v>
      </c>
      <c r="BI2">
        <v>76020</v>
      </c>
      <c r="BJ2">
        <v>76020</v>
      </c>
      <c r="BK2">
        <v>76020</v>
      </c>
      <c r="BL2">
        <v>76020</v>
      </c>
      <c r="BM2">
        <v>76020</v>
      </c>
      <c r="BN2">
        <v>76020</v>
      </c>
      <c r="BO2">
        <v>76020</v>
      </c>
      <c r="BP2">
        <v>76020</v>
      </c>
      <c r="BQ2">
        <v>76020</v>
      </c>
      <c r="BR2">
        <v>76020</v>
      </c>
      <c r="BS2">
        <v>76020</v>
      </c>
      <c r="BT2">
        <v>76020</v>
      </c>
      <c r="BU2">
        <v>76020</v>
      </c>
      <c r="BV2">
        <v>76020</v>
      </c>
      <c r="BW2">
        <v>76020</v>
      </c>
      <c r="BX2">
        <v>76020</v>
      </c>
      <c r="BY2">
        <v>76020</v>
      </c>
      <c r="BZ2">
        <v>76020</v>
      </c>
      <c r="CA2">
        <v>76020</v>
      </c>
      <c r="CB2">
        <v>76020</v>
      </c>
      <c r="CC2">
        <v>76020</v>
      </c>
      <c r="CD2">
        <v>76020</v>
      </c>
      <c r="CE2">
        <v>76020</v>
      </c>
      <c r="CF2">
        <v>76020</v>
      </c>
      <c r="CG2">
        <v>76020</v>
      </c>
      <c r="CH2">
        <v>76020</v>
      </c>
      <c r="CI2">
        <v>76020</v>
      </c>
      <c r="CJ2">
        <v>76020</v>
      </c>
      <c r="CK2">
        <v>76020</v>
      </c>
      <c r="CL2">
        <v>76020</v>
      </c>
      <c r="CM2">
        <v>76020</v>
      </c>
      <c r="CN2">
        <v>76020</v>
      </c>
      <c r="CO2">
        <v>76020</v>
      </c>
      <c r="CP2">
        <v>76020</v>
      </c>
      <c r="CQ2">
        <v>76020</v>
      </c>
      <c r="CR2">
        <v>76020</v>
      </c>
      <c r="CS2">
        <v>76020</v>
      </c>
      <c r="CT2">
        <v>76020</v>
      </c>
      <c r="CU2">
        <v>76020</v>
      </c>
      <c r="CV2">
        <v>76020</v>
      </c>
      <c r="CW2">
        <v>76020</v>
      </c>
      <c r="CX2">
        <v>76020</v>
      </c>
      <c r="CY2">
        <v>76020</v>
      </c>
      <c r="CZ2">
        <v>76020</v>
      </c>
      <c r="DA2">
        <v>76020</v>
      </c>
      <c r="DB2">
        <v>76020</v>
      </c>
      <c r="DC2">
        <v>76020</v>
      </c>
      <c r="DD2">
        <v>76020</v>
      </c>
      <c r="DE2">
        <v>76020</v>
      </c>
      <c r="DF2">
        <v>76020</v>
      </c>
      <c r="DG2">
        <v>76020</v>
      </c>
      <c r="DH2">
        <v>76020</v>
      </c>
      <c r="DI2">
        <v>76020</v>
      </c>
      <c r="DJ2">
        <v>76020</v>
      </c>
      <c r="DK2">
        <v>76020</v>
      </c>
      <c r="DL2">
        <v>76020</v>
      </c>
      <c r="DM2">
        <v>76020</v>
      </c>
      <c r="DN2">
        <v>76020</v>
      </c>
      <c r="DO2">
        <v>76020</v>
      </c>
      <c r="DP2">
        <v>76020</v>
      </c>
      <c r="DQ2">
        <v>76020</v>
      </c>
      <c r="DR2">
        <v>76020</v>
      </c>
      <c r="DS2">
        <v>76020</v>
      </c>
      <c r="DT2">
        <v>76020</v>
      </c>
      <c r="DU2">
        <v>76020</v>
      </c>
      <c r="DV2">
        <v>76020</v>
      </c>
      <c r="DW2">
        <v>76020</v>
      </c>
      <c r="DX2">
        <v>76020</v>
      </c>
      <c r="DY2">
        <v>76020</v>
      </c>
      <c r="DZ2">
        <v>76020</v>
      </c>
      <c r="EA2">
        <v>76020</v>
      </c>
      <c r="EB2">
        <v>76020</v>
      </c>
      <c r="EC2">
        <v>76020</v>
      </c>
      <c r="ED2">
        <v>76020</v>
      </c>
      <c r="EE2">
        <v>76020</v>
      </c>
      <c r="EF2">
        <v>76020</v>
      </c>
      <c r="EG2">
        <v>76020</v>
      </c>
      <c r="EH2">
        <v>76020</v>
      </c>
      <c r="EI2">
        <v>76020</v>
      </c>
      <c r="EJ2">
        <v>76020</v>
      </c>
      <c r="EK2">
        <v>76020</v>
      </c>
      <c r="EL2">
        <v>76020</v>
      </c>
      <c r="EM2">
        <v>76020</v>
      </c>
      <c r="EN2">
        <v>76020</v>
      </c>
      <c r="EO2">
        <v>76020</v>
      </c>
      <c r="EP2">
        <v>76020</v>
      </c>
      <c r="EQ2">
        <v>76020</v>
      </c>
      <c r="ER2">
        <v>76020</v>
      </c>
      <c r="ES2">
        <v>76020</v>
      </c>
      <c r="ET2">
        <v>76020</v>
      </c>
      <c r="EU2">
        <v>76020</v>
      </c>
      <c r="EV2">
        <v>76020</v>
      </c>
      <c r="EW2">
        <v>76020</v>
      </c>
      <c r="EX2">
        <v>76020</v>
      </c>
      <c r="EY2">
        <v>76020</v>
      </c>
      <c r="EZ2">
        <v>76020</v>
      </c>
      <c r="FA2">
        <v>76020</v>
      </c>
      <c r="FB2">
        <v>76020</v>
      </c>
      <c r="FC2">
        <v>76020</v>
      </c>
      <c r="FD2">
        <v>76020</v>
      </c>
      <c r="FE2">
        <v>76020</v>
      </c>
      <c r="FF2">
        <v>76020</v>
      </c>
      <c r="FG2">
        <v>76020</v>
      </c>
      <c r="FH2">
        <v>76020</v>
      </c>
      <c r="FI2">
        <v>76020</v>
      </c>
      <c r="FJ2">
        <v>76020</v>
      </c>
      <c r="FK2">
        <v>76020</v>
      </c>
      <c r="FL2">
        <v>76020</v>
      </c>
      <c r="FM2">
        <v>76020</v>
      </c>
      <c r="FN2">
        <v>76020</v>
      </c>
      <c r="FO2">
        <v>76020</v>
      </c>
      <c r="FP2">
        <v>76020</v>
      </c>
      <c r="FQ2">
        <v>76020</v>
      </c>
      <c r="FR2">
        <v>76020</v>
      </c>
      <c r="FS2">
        <v>76020</v>
      </c>
      <c r="FT2">
        <v>76020</v>
      </c>
      <c r="FU2">
        <v>76020</v>
      </c>
      <c r="FV2">
        <v>76020</v>
      </c>
      <c r="FW2">
        <v>76020</v>
      </c>
      <c r="FX2">
        <v>76020</v>
      </c>
      <c r="FY2">
        <v>76020</v>
      </c>
      <c r="FZ2">
        <v>76020</v>
      </c>
      <c r="GA2">
        <v>76020</v>
      </c>
      <c r="GB2">
        <v>76020</v>
      </c>
      <c r="GC2">
        <v>76020</v>
      </c>
      <c r="GD2">
        <v>76020</v>
      </c>
      <c r="GE2">
        <v>76020</v>
      </c>
      <c r="GF2">
        <v>76020</v>
      </c>
      <c r="GG2">
        <v>76020</v>
      </c>
      <c r="GH2">
        <v>76020</v>
      </c>
      <c r="GI2">
        <v>76020</v>
      </c>
      <c r="GJ2">
        <v>76020</v>
      </c>
      <c r="GK2">
        <v>76020</v>
      </c>
      <c r="GL2">
        <v>76020</v>
      </c>
      <c r="GM2">
        <v>76020</v>
      </c>
      <c r="GN2">
        <v>76020</v>
      </c>
      <c r="GO2">
        <v>76020</v>
      </c>
      <c r="GP2">
        <v>76020</v>
      </c>
      <c r="GQ2">
        <v>76020</v>
      </c>
      <c r="GR2">
        <v>76020</v>
      </c>
      <c r="GS2">
        <v>76020</v>
      </c>
      <c r="GT2">
        <v>76020</v>
      </c>
      <c r="GU2">
        <v>76020</v>
      </c>
      <c r="GV2">
        <v>76020</v>
      </c>
      <c r="GW2">
        <v>76020</v>
      </c>
      <c r="GX2">
        <v>76020</v>
      </c>
      <c r="GY2">
        <v>76020</v>
      </c>
      <c r="GZ2">
        <v>76020</v>
      </c>
      <c r="HA2">
        <v>76020</v>
      </c>
      <c r="HB2">
        <v>76020</v>
      </c>
      <c r="HC2">
        <v>76020</v>
      </c>
      <c r="HD2">
        <v>76020</v>
      </c>
      <c r="HE2">
        <v>76020</v>
      </c>
      <c r="HF2">
        <v>76020</v>
      </c>
      <c r="HG2">
        <v>76020</v>
      </c>
      <c r="HH2">
        <v>76020</v>
      </c>
      <c r="HI2">
        <v>76020</v>
      </c>
      <c r="HJ2">
        <v>76020</v>
      </c>
      <c r="HK2">
        <v>76020</v>
      </c>
      <c r="HL2">
        <v>76020</v>
      </c>
      <c r="HM2">
        <v>76020</v>
      </c>
      <c r="HN2">
        <v>76020</v>
      </c>
      <c r="HO2">
        <v>76020</v>
      </c>
      <c r="HP2">
        <v>76020</v>
      </c>
      <c r="HQ2">
        <v>76020</v>
      </c>
      <c r="HR2">
        <v>76020</v>
      </c>
      <c r="HS2">
        <v>76020</v>
      </c>
      <c r="HT2">
        <v>76020</v>
      </c>
      <c r="HU2">
        <v>76020</v>
      </c>
      <c r="HV2">
        <v>76020</v>
      </c>
      <c r="HW2">
        <v>76020</v>
      </c>
      <c r="HX2">
        <v>76020</v>
      </c>
      <c r="HY2">
        <v>76020</v>
      </c>
      <c r="HZ2">
        <v>76020</v>
      </c>
      <c r="IA2">
        <v>76020</v>
      </c>
      <c r="IB2">
        <v>76020</v>
      </c>
      <c r="IC2">
        <v>76020</v>
      </c>
      <c r="ID2">
        <v>76020</v>
      </c>
      <c r="IE2">
        <v>76020</v>
      </c>
      <c r="IF2">
        <v>76020</v>
      </c>
      <c r="IG2">
        <v>76020</v>
      </c>
      <c r="IH2">
        <v>76020</v>
      </c>
      <c r="II2">
        <v>76020</v>
      </c>
      <c r="IJ2">
        <v>76020</v>
      </c>
      <c r="IK2">
        <v>76020</v>
      </c>
      <c r="IL2">
        <v>76020</v>
      </c>
      <c r="IM2">
        <v>76020</v>
      </c>
      <c r="IN2">
        <v>76020</v>
      </c>
      <c r="IO2">
        <v>76020</v>
      </c>
      <c r="IP2">
        <v>76020</v>
      </c>
      <c r="IQ2">
        <v>76020</v>
      </c>
      <c r="IR2">
        <v>76020</v>
      </c>
      <c r="IS2">
        <v>76020</v>
      </c>
      <c r="IT2">
        <v>76020</v>
      </c>
      <c r="IU2">
        <v>76020</v>
      </c>
      <c r="IV2">
        <v>76020</v>
      </c>
      <c r="IW2">
        <v>76020</v>
      </c>
      <c r="IX2">
        <v>76020</v>
      </c>
      <c r="IY2">
        <v>76020</v>
      </c>
      <c r="IZ2">
        <v>76020</v>
      </c>
      <c r="JA2">
        <v>76020</v>
      </c>
      <c r="JB2">
        <v>76020</v>
      </c>
      <c r="JC2">
        <v>76020</v>
      </c>
      <c r="JD2">
        <v>76020</v>
      </c>
      <c r="JE2">
        <v>76020</v>
      </c>
      <c r="JF2">
        <v>76020</v>
      </c>
      <c r="JG2">
        <v>76020</v>
      </c>
      <c r="JH2">
        <v>76020</v>
      </c>
      <c r="JI2">
        <v>76020</v>
      </c>
      <c r="JJ2">
        <v>76020</v>
      </c>
      <c r="JK2">
        <v>76020</v>
      </c>
      <c r="JL2">
        <v>76020</v>
      </c>
      <c r="JM2">
        <v>76020</v>
      </c>
      <c r="JN2">
        <v>76020</v>
      </c>
      <c r="JO2">
        <v>76020</v>
      </c>
      <c r="JP2">
        <v>76020</v>
      </c>
      <c r="JQ2">
        <v>76020</v>
      </c>
      <c r="JR2">
        <v>76020</v>
      </c>
      <c r="JS2">
        <v>76020</v>
      </c>
      <c r="JT2">
        <v>76020</v>
      </c>
      <c r="JU2">
        <v>76020</v>
      </c>
      <c r="JV2">
        <v>76020</v>
      </c>
      <c r="JW2">
        <v>76020</v>
      </c>
      <c r="JX2">
        <v>76020</v>
      </c>
      <c r="JY2">
        <v>76020</v>
      </c>
      <c r="JZ2">
        <v>76020</v>
      </c>
      <c r="KA2">
        <v>76020</v>
      </c>
      <c r="KB2">
        <v>76020</v>
      </c>
      <c r="KC2">
        <v>76020</v>
      </c>
      <c r="KD2">
        <v>76020</v>
      </c>
      <c r="KE2">
        <v>76020</v>
      </c>
      <c r="KF2">
        <v>76020</v>
      </c>
      <c r="KG2">
        <v>76020</v>
      </c>
      <c r="KH2">
        <v>76020</v>
      </c>
      <c r="KI2">
        <v>76020</v>
      </c>
      <c r="KJ2">
        <v>76020</v>
      </c>
      <c r="KK2">
        <v>76020</v>
      </c>
      <c r="KL2">
        <v>76020</v>
      </c>
      <c r="KM2">
        <v>76020</v>
      </c>
      <c r="KN2">
        <v>76020</v>
      </c>
      <c r="KO2">
        <v>76020</v>
      </c>
      <c r="KP2">
        <v>76020</v>
      </c>
      <c r="KQ2">
        <v>76020</v>
      </c>
      <c r="KR2">
        <v>76020</v>
      </c>
      <c r="KS2">
        <v>76020</v>
      </c>
      <c r="KT2">
        <v>76020</v>
      </c>
      <c r="KU2">
        <v>76020</v>
      </c>
      <c r="KV2">
        <v>76020</v>
      </c>
      <c r="KW2">
        <v>76020</v>
      </c>
      <c r="KX2">
        <v>76020</v>
      </c>
      <c r="KY2">
        <v>76020</v>
      </c>
      <c r="KZ2">
        <v>76020</v>
      </c>
      <c r="LA2">
        <v>76020</v>
      </c>
      <c r="LB2">
        <v>76020</v>
      </c>
      <c r="LC2">
        <v>76020</v>
      </c>
      <c r="LD2">
        <v>76020</v>
      </c>
      <c r="LE2">
        <v>76020</v>
      </c>
      <c r="LF2">
        <v>76020</v>
      </c>
      <c r="LG2">
        <v>76020</v>
      </c>
      <c r="LH2">
        <v>76020</v>
      </c>
      <c r="LI2">
        <v>76020</v>
      </c>
      <c r="LJ2">
        <v>76020</v>
      </c>
      <c r="LK2">
        <v>76020</v>
      </c>
      <c r="LL2">
        <v>76020</v>
      </c>
      <c r="LM2">
        <v>76020</v>
      </c>
      <c r="LN2">
        <v>76020</v>
      </c>
      <c r="LO2">
        <v>76020</v>
      </c>
      <c r="LP2">
        <v>76020</v>
      </c>
      <c r="LQ2">
        <v>76020</v>
      </c>
      <c r="LR2">
        <v>76020</v>
      </c>
      <c r="LS2">
        <v>76020</v>
      </c>
      <c r="LT2">
        <v>76020</v>
      </c>
      <c r="LU2">
        <v>76020</v>
      </c>
      <c r="LV2">
        <v>76020</v>
      </c>
      <c r="LW2">
        <v>76020</v>
      </c>
      <c r="LX2">
        <v>76020</v>
      </c>
      <c r="LY2">
        <v>76020</v>
      </c>
      <c r="LZ2">
        <v>76020</v>
      </c>
      <c r="MA2">
        <v>76020</v>
      </c>
      <c r="MB2">
        <v>76020</v>
      </c>
      <c r="MC2">
        <v>76020</v>
      </c>
      <c r="MD2">
        <v>76020</v>
      </c>
      <c r="ME2">
        <v>76020</v>
      </c>
      <c r="MF2">
        <v>76020</v>
      </c>
      <c r="MG2">
        <v>76020</v>
      </c>
      <c r="MH2">
        <v>76020</v>
      </c>
      <c r="MI2">
        <v>76020</v>
      </c>
      <c r="MJ2">
        <v>76020</v>
      </c>
      <c r="MK2">
        <v>76020</v>
      </c>
      <c r="ML2">
        <v>76020</v>
      </c>
      <c r="MM2">
        <v>76020</v>
      </c>
      <c r="MN2">
        <v>76020</v>
      </c>
      <c r="MO2">
        <v>76020</v>
      </c>
      <c r="MP2">
        <v>76020</v>
      </c>
      <c r="MQ2">
        <v>76020</v>
      </c>
      <c r="MR2">
        <v>76020</v>
      </c>
      <c r="MS2">
        <v>76020</v>
      </c>
      <c r="MT2">
        <v>76020</v>
      </c>
      <c r="MU2">
        <v>76020</v>
      </c>
      <c r="MV2">
        <v>76020</v>
      </c>
      <c r="MW2">
        <v>76020</v>
      </c>
      <c r="MX2">
        <v>76020</v>
      </c>
      <c r="MY2">
        <v>76020</v>
      </c>
      <c r="MZ2">
        <v>76020</v>
      </c>
      <c r="NA2">
        <v>76020</v>
      </c>
      <c r="NB2">
        <v>76020</v>
      </c>
      <c r="NC2">
        <v>76020</v>
      </c>
      <c r="ND2">
        <v>76020</v>
      </c>
      <c r="NE2">
        <v>76020</v>
      </c>
      <c r="NF2">
        <v>76020</v>
      </c>
      <c r="NG2">
        <v>76020</v>
      </c>
      <c r="NH2">
        <v>76020</v>
      </c>
    </row>
    <row r="3" spans="1:372" x14ac:dyDescent="0.3">
      <c r="A3" t="s">
        <v>371</v>
      </c>
      <c r="B3">
        <v>75964.050719999999</v>
      </c>
      <c r="C3">
        <v>-1523.1992769999999</v>
      </c>
      <c r="D3">
        <v>33.212865039999997</v>
      </c>
      <c r="E3">
        <v>86.208265190000006</v>
      </c>
      <c r="F3">
        <v>72.363067090000001</v>
      </c>
      <c r="G3">
        <v>119.52963219999999</v>
      </c>
      <c r="H3">
        <v>3.5591298340000002</v>
      </c>
      <c r="I3">
        <v>6.4726977110000004</v>
      </c>
      <c r="J3">
        <v>0.41294632999999997</v>
      </c>
      <c r="K3">
        <v>0.567352407</v>
      </c>
      <c r="L3">
        <v>3.16071547</v>
      </c>
      <c r="M3">
        <v>68.803937250000004</v>
      </c>
      <c r="N3">
        <v>113.0569345</v>
      </c>
      <c r="O3">
        <v>68.205140490000005</v>
      </c>
      <c r="P3">
        <v>113.2250576</v>
      </c>
      <c r="Q3">
        <v>137.24276320000001</v>
      </c>
      <c r="R3">
        <v>68.618086820000002</v>
      </c>
      <c r="S3">
        <v>113.79241</v>
      </c>
      <c r="T3">
        <v>140.40347869999999</v>
      </c>
      <c r="U3">
        <v>5.4776756119999996</v>
      </c>
      <c r="V3">
        <v>1.1457511E-2</v>
      </c>
      <c r="W3">
        <v>3.7621680000000002E-3</v>
      </c>
      <c r="X3">
        <v>0</v>
      </c>
      <c r="Y3">
        <v>0</v>
      </c>
      <c r="Z3">
        <v>0.95802420399999999</v>
      </c>
      <c r="AA3">
        <v>0.66375953700000001</v>
      </c>
      <c r="AB3">
        <v>1.05235E-4</v>
      </c>
      <c r="AC3" s="1">
        <v>2.6299999999999999E-5</v>
      </c>
      <c r="AD3">
        <v>3.2833464999999999E-2</v>
      </c>
      <c r="AE3">
        <v>2.8597737000000002E-2</v>
      </c>
      <c r="AF3">
        <v>6.7521705000000001E-2</v>
      </c>
      <c r="AG3">
        <v>4.5461720999999997E-2</v>
      </c>
      <c r="AH3">
        <v>5.2249407999999997E-2</v>
      </c>
      <c r="AI3">
        <v>4.2936069E-2</v>
      </c>
      <c r="AJ3">
        <v>4.1475927000000003E-2</v>
      </c>
      <c r="AK3">
        <v>1.0168376999999999E-2</v>
      </c>
      <c r="AL3">
        <v>9.9973690000000007E-3</v>
      </c>
      <c r="AM3" s="1">
        <v>2.6299999999999999E-5</v>
      </c>
      <c r="AN3" s="1">
        <v>2.6299999999999999E-5</v>
      </c>
      <c r="AO3">
        <v>5.0855037999999998E-2</v>
      </c>
      <c r="AP3">
        <v>2.3651670999999999E-2</v>
      </c>
      <c r="AQ3">
        <v>5.3012370000000003E-3</v>
      </c>
      <c r="AR3">
        <v>1.802157E-3</v>
      </c>
      <c r="AS3">
        <v>1.446988E-3</v>
      </c>
      <c r="AT3" s="1">
        <v>2.6299999999999999E-5</v>
      </c>
      <c r="AU3" s="1">
        <v>2.6299999999999999E-5</v>
      </c>
      <c r="AV3">
        <v>4.1962639999999999E-3</v>
      </c>
      <c r="AW3">
        <v>3.6306239999999998E-3</v>
      </c>
      <c r="AX3">
        <v>2.6966590000000001E-3</v>
      </c>
      <c r="AY3">
        <v>4.2370429000000001E-2</v>
      </c>
      <c r="AZ3">
        <v>3.7884767E-2</v>
      </c>
      <c r="BA3">
        <v>2.6427256E-2</v>
      </c>
      <c r="BB3">
        <v>2.4638252999999999E-2</v>
      </c>
      <c r="BC3">
        <v>2.7558537000000001E-2</v>
      </c>
      <c r="BD3">
        <v>2.4638252999999999E-2</v>
      </c>
      <c r="BE3">
        <v>2.3638515999999998E-2</v>
      </c>
      <c r="BF3">
        <v>2.3638515999999998E-2</v>
      </c>
      <c r="BG3">
        <v>0</v>
      </c>
      <c r="BH3">
        <v>0</v>
      </c>
      <c r="BI3">
        <v>0</v>
      </c>
      <c r="BJ3">
        <v>0</v>
      </c>
      <c r="BK3">
        <v>1.05235E-4</v>
      </c>
      <c r="BL3" s="1">
        <v>2.6299999999999999E-5</v>
      </c>
      <c r="BM3">
        <v>0.995488029</v>
      </c>
      <c r="BN3">
        <v>0.73283346500000002</v>
      </c>
      <c r="BO3">
        <v>4.2751910000000002E-3</v>
      </c>
      <c r="BP3">
        <v>3.6700869999999998E-3</v>
      </c>
      <c r="BQ3">
        <v>1.2102079999999999E-3</v>
      </c>
      <c r="BR3">
        <v>1.078664E-3</v>
      </c>
      <c r="BS3">
        <v>1.078664E-3</v>
      </c>
      <c r="BT3">
        <v>7.4980299999999995E-4</v>
      </c>
      <c r="BU3">
        <v>6.3141300000000005E-4</v>
      </c>
      <c r="BV3" s="1">
        <v>2.6299999999999999E-5</v>
      </c>
      <c r="BW3" s="1">
        <v>2.6299999999999999E-5</v>
      </c>
      <c r="BX3">
        <v>7.2296763999999999E-2</v>
      </c>
      <c r="BY3">
        <v>6.5259142000000006E-2</v>
      </c>
      <c r="BZ3">
        <v>6.5259142000000006E-2</v>
      </c>
      <c r="CA3">
        <v>0.88075506400000003</v>
      </c>
      <c r="CB3">
        <v>1.1418048E-2</v>
      </c>
      <c r="CC3">
        <v>3.7227050000000002E-3</v>
      </c>
      <c r="CD3">
        <v>0.87928176800000002</v>
      </c>
      <c r="CE3">
        <v>0</v>
      </c>
      <c r="CF3">
        <v>3.7227050000000002E-3</v>
      </c>
      <c r="CG3">
        <v>1.8810840000000001E-3</v>
      </c>
      <c r="CH3">
        <v>1.696922E-3</v>
      </c>
      <c r="CI3">
        <v>0</v>
      </c>
      <c r="CJ3">
        <v>0</v>
      </c>
      <c r="CK3">
        <v>3.4451460000000003E-2</v>
      </c>
      <c r="CL3">
        <v>1.1325966999999999E-2</v>
      </c>
      <c r="CM3">
        <v>1.0794396209999999</v>
      </c>
      <c r="CN3">
        <v>2.894041042</v>
      </c>
      <c r="CO3">
        <v>1.999171271</v>
      </c>
      <c r="CP3">
        <v>3.1570600000000002E-4</v>
      </c>
      <c r="CQ3" s="1">
        <v>7.8899999999999993E-5</v>
      </c>
      <c r="CR3">
        <v>9.8539857999999994E-2</v>
      </c>
      <c r="CS3">
        <v>8.5793211999999994E-2</v>
      </c>
      <c r="CT3">
        <v>0.21124704</v>
      </c>
      <c r="CU3">
        <v>0.13800315699999999</v>
      </c>
      <c r="CV3">
        <v>0.167719021</v>
      </c>
      <c r="CW3">
        <v>0.13030781399999999</v>
      </c>
      <c r="CX3">
        <v>0.12450670899999999</v>
      </c>
      <c r="CY3">
        <v>3.7332281000000002E-2</v>
      </c>
      <c r="CZ3">
        <v>3.5240726E-2</v>
      </c>
      <c r="DA3" s="1">
        <v>7.8899999999999993E-5</v>
      </c>
      <c r="DB3" s="1">
        <v>7.8899999999999993E-5</v>
      </c>
      <c r="DC3">
        <v>0.159826361</v>
      </c>
      <c r="DD3">
        <v>7.2691397000000005E-2</v>
      </c>
      <c r="DE3">
        <v>1.6140489000000001E-2</v>
      </c>
      <c r="DF3">
        <v>1.1878453000000001E-2</v>
      </c>
      <c r="DG3">
        <v>8.8792420000000007E-3</v>
      </c>
      <c r="DH3" s="1">
        <v>7.8899999999999993E-5</v>
      </c>
      <c r="DI3" s="1">
        <v>7.8899999999999993E-5</v>
      </c>
      <c r="DJ3">
        <v>1.0891870999999999E-2</v>
      </c>
      <c r="DK3">
        <v>8.0899760000000005E-3</v>
      </c>
      <c r="DL3">
        <v>0.12766377300000001</v>
      </c>
      <c r="DM3">
        <v>0.113772691</v>
      </c>
      <c r="DN3">
        <v>8.9384373000000003E-2</v>
      </c>
      <c r="DO3">
        <v>8.9384373000000003E-2</v>
      </c>
      <c r="DP3">
        <v>8.5161799999999996E-2</v>
      </c>
      <c r="DQ3">
        <v>8.5161799999999996E-2</v>
      </c>
      <c r="DR3">
        <v>2.0244671999999998E-2</v>
      </c>
      <c r="DS3">
        <v>1.0260460000000001E-3</v>
      </c>
      <c r="DT3">
        <v>5.7024467000000002E-2</v>
      </c>
      <c r="DU3">
        <v>7.8295185000000003E-2</v>
      </c>
      <c r="DV3">
        <v>1.601144436</v>
      </c>
      <c r="DW3">
        <v>9.3922651999999995E-2</v>
      </c>
      <c r="DX3">
        <v>2.8588397790000002</v>
      </c>
      <c r="DY3">
        <v>4.5539068670000002</v>
      </c>
      <c r="DZ3">
        <v>1.621389108</v>
      </c>
      <c r="EA3">
        <v>9.4948697999999998E-2</v>
      </c>
      <c r="EB3">
        <v>2.9158642459999999</v>
      </c>
      <c r="EC3">
        <v>4.6322020520000002</v>
      </c>
      <c r="ED3">
        <v>0</v>
      </c>
      <c r="EE3">
        <v>0</v>
      </c>
      <c r="EF3">
        <v>0</v>
      </c>
      <c r="EG3">
        <v>0</v>
      </c>
      <c r="EH3">
        <v>3.1570600000000002E-4</v>
      </c>
      <c r="EI3" s="1">
        <v>7.8899999999999993E-5</v>
      </c>
      <c r="EJ3">
        <v>3.3718626679999999</v>
      </c>
      <c r="EK3">
        <v>2.3828729279999998</v>
      </c>
      <c r="EL3">
        <v>2.0126282999999998E-2</v>
      </c>
      <c r="EM3">
        <v>1.6061563000000001E-2</v>
      </c>
      <c r="EN3">
        <v>4.2225730000000003E-3</v>
      </c>
      <c r="EO3">
        <v>4.2225730000000003E-3</v>
      </c>
      <c r="EP3">
        <v>2.5651139999999998E-3</v>
      </c>
      <c r="EQ3">
        <v>2.0915550000000002E-3</v>
      </c>
      <c r="ER3" s="1">
        <v>7.8899999999999993E-5</v>
      </c>
      <c r="ES3" s="1">
        <v>7.8899999999999993E-5</v>
      </c>
      <c r="ET3">
        <v>3.299368587</v>
      </c>
      <c r="EU3">
        <v>0.26353591199999998</v>
      </c>
      <c r="EV3">
        <v>0.41878452999999999</v>
      </c>
      <c r="EW3">
        <v>0.41878452999999999</v>
      </c>
      <c r="EX3">
        <v>2.7249408050000001</v>
      </c>
      <c r="EY3">
        <v>3.4293606999999997E-2</v>
      </c>
      <c r="EZ3">
        <v>1.1168114E-2</v>
      </c>
      <c r="FA3">
        <v>2.699250197</v>
      </c>
      <c r="FB3">
        <v>0</v>
      </c>
      <c r="FC3">
        <v>1.1168114E-2</v>
      </c>
      <c r="FD3">
        <v>3.2041436459999999</v>
      </c>
      <c r="FE3">
        <v>2.2179952639999998</v>
      </c>
      <c r="FF3">
        <v>5.6827149999999996E-3</v>
      </c>
      <c r="FG3">
        <v>5.090766E-3</v>
      </c>
      <c r="FH3">
        <v>0</v>
      </c>
      <c r="FI3">
        <v>0</v>
      </c>
      <c r="FJ3">
        <v>48.449106950000001</v>
      </c>
      <c r="FK3">
        <v>1028.468235</v>
      </c>
      <c r="FL3">
        <v>0.41447513800000002</v>
      </c>
      <c r="FM3">
        <v>141.2267841</v>
      </c>
      <c r="FN3">
        <v>6021.6159010000001</v>
      </c>
      <c r="FO3">
        <v>4993.7529699999996</v>
      </c>
      <c r="FP3">
        <v>1493.68227</v>
      </c>
      <c r="FQ3">
        <v>0.51302288900000004</v>
      </c>
      <c r="FR3">
        <v>6487.9482630000002</v>
      </c>
      <c r="FS3">
        <v>69.096200469999999</v>
      </c>
      <c r="FT3">
        <v>183.40589660000001</v>
      </c>
      <c r="FU3">
        <v>43.409629039999999</v>
      </c>
      <c r="FV3">
        <v>27.399455799999998</v>
      </c>
      <c r="FW3">
        <v>5925.1202450000001</v>
      </c>
      <c r="FX3">
        <v>76.081633389999993</v>
      </c>
      <c r="FY3">
        <v>72.735692580000006</v>
      </c>
      <c r="FZ3">
        <v>0</v>
      </c>
      <c r="GA3">
        <v>0</v>
      </c>
      <c r="GB3">
        <v>0.41447513800000002</v>
      </c>
      <c r="GC3">
        <v>13679.67366</v>
      </c>
      <c r="GD3">
        <v>292.29096720000001</v>
      </c>
      <c r="GE3">
        <v>3.3459408050000001</v>
      </c>
      <c r="GF3">
        <v>12.53233268</v>
      </c>
      <c r="GG3">
        <v>0.67087608499999996</v>
      </c>
      <c r="GH3">
        <v>36.907193759999998</v>
      </c>
      <c r="GI3">
        <v>4.3686018149999999</v>
      </c>
      <c r="GJ3">
        <v>0</v>
      </c>
      <c r="GK3">
        <v>7191.7253950000004</v>
      </c>
      <c r="GL3">
        <v>96.352737959999999</v>
      </c>
      <c r="GM3">
        <v>0</v>
      </c>
      <c r="GN3">
        <v>40.449079189999999</v>
      </c>
      <c r="GO3">
        <v>263088.66090000002</v>
      </c>
      <c r="GP3">
        <v>263088.66090000002</v>
      </c>
      <c r="GQ3">
        <v>48671402.240000002</v>
      </c>
      <c r="GR3">
        <v>5130228.8859999999</v>
      </c>
      <c r="GS3">
        <v>131544.33009999999</v>
      </c>
      <c r="GT3">
        <v>9208103.1300000008</v>
      </c>
      <c r="GU3">
        <v>4998684.5559999999</v>
      </c>
      <c r="GV3">
        <v>2630886.6090000002</v>
      </c>
      <c r="GW3">
        <v>131544.33040000001</v>
      </c>
      <c r="GX3">
        <v>526177.32169999997</v>
      </c>
      <c r="GY3">
        <v>526177.32169999997</v>
      </c>
      <c r="GZ3">
        <v>657721.65209999995</v>
      </c>
      <c r="HA3">
        <v>131544.33040000001</v>
      </c>
      <c r="HB3">
        <v>5524861.8779999996</v>
      </c>
      <c r="HC3">
        <v>48671402.240000002</v>
      </c>
      <c r="HD3">
        <v>5130228.8859999999</v>
      </c>
      <c r="HE3">
        <v>131544.3302</v>
      </c>
      <c r="HF3">
        <v>9208103.1300000008</v>
      </c>
      <c r="HG3">
        <v>4998684.5559999999</v>
      </c>
      <c r="HH3">
        <v>2630886.6090000002</v>
      </c>
      <c r="HI3">
        <v>131544.33040000001</v>
      </c>
      <c r="HJ3">
        <v>526177.32169999997</v>
      </c>
      <c r="HK3">
        <v>526177.32169999997</v>
      </c>
      <c r="HL3">
        <v>657721.65209999995</v>
      </c>
      <c r="HM3">
        <v>131544.33040000001</v>
      </c>
      <c r="HN3">
        <v>5524861.8779999996</v>
      </c>
      <c r="HO3">
        <v>0</v>
      </c>
      <c r="HP3">
        <v>0.231189424</v>
      </c>
      <c r="HQ3">
        <v>0</v>
      </c>
      <c r="HR3">
        <v>1.8051302000000002E-2</v>
      </c>
      <c r="HS3">
        <v>2823.9490890000002</v>
      </c>
      <c r="HT3">
        <v>619.58500990000005</v>
      </c>
      <c r="HU3">
        <v>98.788769139999999</v>
      </c>
      <c r="HV3">
        <v>31.105322810000001</v>
      </c>
      <c r="HW3">
        <v>2.9857932119999999</v>
      </c>
      <c r="HX3">
        <v>4.8145225E-2</v>
      </c>
      <c r="HY3">
        <v>2.721453828</v>
      </c>
      <c r="HZ3">
        <v>127.69820989999999</v>
      </c>
      <c r="IA3">
        <v>13.964580509999999</v>
      </c>
      <c r="IB3">
        <v>116.782528</v>
      </c>
      <c r="IC3">
        <v>0</v>
      </c>
      <c r="ID3">
        <v>46.180243089999998</v>
      </c>
      <c r="IE3">
        <v>0.15821033900000001</v>
      </c>
      <c r="IF3">
        <v>12.569400549999999</v>
      </c>
      <c r="IG3">
        <v>0</v>
      </c>
      <c r="IH3">
        <v>1.5785319999999999E-2</v>
      </c>
      <c r="II3">
        <v>854.12074700000005</v>
      </c>
      <c r="IJ3">
        <v>1932.954432</v>
      </c>
      <c r="IK3">
        <v>1.8748082079999999</v>
      </c>
      <c r="IL3">
        <v>2.512678374</v>
      </c>
      <c r="IM3">
        <v>0</v>
      </c>
      <c r="IN3">
        <v>1.913616022</v>
      </c>
      <c r="IO3">
        <v>2.7897722969999998</v>
      </c>
      <c r="IP3">
        <v>0.31470126300000001</v>
      </c>
      <c r="IQ3">
        <v>0</v>
      </c>
      <c r="IR3">
        <v>3.9463299E-2</v>
      </c>
      <c r="IS3">
        <v>3.7871369380000002</v>
      </c>
      <c r="IT3">
        <v>81.43382794</v>
      </c>
      <c r="IU3" s="1">
        <v>3.9499999999999998E-5</v>
      </c>
      <c r="IV3">
        <v>2.6966590000000001E-3</v>
      </c>
      <c r="IW3">
        <v>8.0873453999999997E-2</v>
      </c>
      <c r="IX3">
        <v>9.2159958E-2</v>
      </c>
      <c r="IY3">
        <v>9.6869245000000007E-2</v>
      </c>
      <c r="IZ3">
        <v>8.5911602000000004E-2</v>
      </c>
      <c r="JA3">
        <v>6.6587740000000006E-2</v>
      </c>
      <c r="JB3">
        <v>0.12930807699999999</v>
      </c>
      <c r="JC3">
        <v>32.549329120000003</v>
      </c>
      <c r="JD3">
        <v>0</v>
      </c>
      <c r="JE3">
        <v>0</v>
      </c>
      <c r="JF3">
        <v>7.5887923999999995E-2</v>
      </c>
      <c r="JG3">
        <v>1.7955801E-2</v>
      </c>
      <c r="JH3">
        <v>1.5390689999999999E-3</v>
      </c>
      <c r="JI3">
        <v>3.393844E-3</v>
      </c>
      <c r="JJ3">
        <v>1.0655090000000001E-3</v>
      </c>
      <c r="JK3">
        <v>3.1570600000000002E-4</v>
      </c>
      <c r="JL3">
        <v>1.1839E-4</v>
      </c>
      <c r="JM3">
        <v>1.0299921E-2</v>
      </c>
      <c r="JN3">
        <v>1.8547749999999999E-3</v>
      </c>
      <c r="JO3">
        <v>7.53749E-3</v>
      </c>
      <c r="JP3">
        <v>0.18796369399999999</v>
      </c>
      <c r="JQ3">
        <v>1.298697711</v>
      </c>
      <c r="JR3">
        <v>1.184885556</v>
      </c>
      <c r="JS3">
        <v>0.56065509099999999</v>
      </c>
      <c r="JT3">
        <v>3.0442383579999999</v>
      </c>
      <c r="JU3">
        <v>0.63587213899999995</v>
      </c>
      <c r="JV3">
        <v>4.0246645619999999</v>
      </c>
      <c r="JW3">
        <v>1.979978953</v>
      </c>
      <c r="JX3">
        <v>5.3604315E-2</v>
      </c>
      <c r="JY3">
        <v>0.102052092</v>
      </c>
      <c r="JZ3">
        <v>9.8921335999999999E-2</v>
      </c>
      <c r="KA3">
        <v>1.7403314999999999E-2</v>
      </c>
      <c r="KB3" s="1">
        <v>5.2599999999999998E-5</v>
      </c>
      <c r="KC3">
        <v>2.959747E-3</v>
      </c>
      <c r="KD3">
        <v>1.05235E-4</v>
      </c>
      <c r="KE3">
        <v>1.5127599999999999E-3</v>
      </c>
      <c r="KF3">
        <v>1.5927913709999999</v>
      </c>
      <c r="KG3">
        <v>3.5780059999999999E-3</v>
      </c>
      <c r="KH3">
        <v>2.194790845</v>
      </c>
      <c r="KI3">
        <v>3.6070639309999999</v>
      </c>
      <c r="KJ3">
        <v>7.4980268000000003E-2</v>
      </c>
      <c r="KK3">
        <v>0.14483030799999999</v>
      </c>
      <c r="KL3">
        <v>2.4861879999999999E-3</v>
      </c>
      <c r="KM3">
        <v>3.6700869999999998E-3</v>
      </c>
      <c r="KN3">
        <v>2.1198105759999999</v>
      </c>
      <c r="KO3">
        <v>3.4622336229999999</v>
      </c>
      <c r="KP3">
        <v>0.719415943</v>
      </c>
      <c r="KQ3">
        <v>1.212154696</v>
      </c>
      <c r="KR3">
        <v>0.721902131</v>
      </c>
      <c r="KS3">
        <v>1.215824783</v>
      </c>
      <c r="KT3">
        <v>0</v>
      </c>
      <c r="KU3">
        <v>1.499605E-3</v>
      </c>
      <c r="KV3" s="1">
        <v>3.9499999999999998E-5</v>
      </c>
      <c r="KW3">
        <v>1.183899E-3</v>
      </c>
      <c r="KX3">
        <v>0</v>
      </c>
      <c r="KY3" s="1">
        <v>3.9499999999999998E-5</v>
      </c>
      <c r="KZ3">
        <v>4.9329120000000002E-3</v>
      </c>
      <c r="LA3">
        <v>0.39281768</v>
      </c>
      <c r="LB3">
        <v>0.81499605399999997</v>
      </c>
      <c r="LC3">
        <v>0.12067876900000001</v>
      </c>
      <c r="LD3">
        <v>1.1839E-4</v>
      </c>
      <c r="LE3">
        <v>1.5785300000000001E-4</v>
      </c>
      <c r="LF3">
        <v>0</v>
      </c>
      <c r="LG3">
        <v>1.5785300000000001E-4</v>
      </c>
      <c r="LH3">
        <v>2.3677999999999999E-4</v>
      </c>
      <c r="LI3">
        <v>2.3677999999999999E-4</v>
      </c>
      <c r="LJ3">
        <v>0</v>
      </c>
      <c r="LK3" s="1">
        <v>3.9499999999999998E-5</v>
      </c>
      <c r="LL3">
        <v>1.5785300000000001E-4</v>
      </c>
      <c r="LM3">
        <v>4.4198900000000001E-3</v>
      </c>
      <c r="LN3">
        <v>5.3932123130000003</v>
      </c>
      <c r="LO3">
        <v>3.8943962120000002</v>
      </c>
      <c r="LP3">
        <v>4.3634964480000002</v>
      </c>
      <c r="LQ3">
        <v>13.65110497</v>
      </c>
      <c r="LR3">
        <v>0</v>
      </c>
      <c r="LS3">
        <v>1579.135311</v>
      </c>
      <c r="LT3">
        <v>891.36586350000005</v>
      </c>
      <c r="LU3">
        <v>1077.256756</v>
      </c>
      <c r="LV3">
        <v>1048.8564469999999</v>
      </c>
      <c r="LW3">
        <v>68.275451849999996</v>
      </c>
      <c r="LX3">
        <v>9.5052868979999996</v>
      </c>
      <c r="LY3">
        <v>124.6209617</v>
      </c>
      <c r="LZ3">
        <v>110.0265754</v>
      </c>
      <c r="MA3">
        <v>3997.0233280000002</v>
      </c>
      <c r="MB3">
        <v>613.53444320000006</v>
      </c>
      <c r="MC3">
        <v>5703.0081719999998</v>
      </c>
      <c r="MD3">
        <v>4401.0024389999999</v>
      </c>
      <c r="ME3">
        <v>3639.4199389999999</v>
      </c>
      <c r="MF3">
        <v>556.18417799999997</v>
      </c>
      <c r="MG3">
        <v>4852.2618140000004</v>
      </c>
      <c r="MH3">
        <v>3857.8485420000002</v>
      </c>
      <c r="MI3">
        <v>771.22744909999994</v>
      </c>
      <c r="MJ3">
        <v>162.1704388</v>
      </c>
      <c r="MK3">
        <v>956.95020720000002</v>
      </c>
      <c r="ML3">
        <v>750.95627309999998</v>
      </c>
      <c r="MM3">
        <v>0.175324388</v>
      </c>
      <c r="MN3">
        <v>0</v>
      </c>
      <c r="MO3">
        <v>0.51302288900000004</v>
      </c>
      <c r="MP3">
        <v>0.34417403299999999</v>
      </c>
      <c r="MQ3">
        <v>91.171810579999999</v>
      </c>
      <c r="MR3">
        <v>36.4631835</v>
      </c>
      <c r="MS3">
        <v>131.0315659</v>
      </c>
      <c r="MT3">
        <v>109.21694359999999</v>
      </c>
      <c r="MU3">
        <v>0.21307103399999999</v>
      </c>
      <c r="MV3">
        <v>1.910024E-3</v>
      </c>
      <c r="MW3">
        <v>0.25390686699999998</v>
      </c>
      <c r="MX3">
        <v>0.18662983399999999</v>
      </c>
      <c r="MY3">
        <v>7.9358239939999997</v>
      </c>
      <c r="MZ3">
        <v>1.365146014</v>
      </c>
      <c r="NA3">
        <v>12.215579719999999</v>
      </c>
      <c r="NB3">
        <v>8.7840741910000002</v>
      </c>
      <c r="NC3">
        <v>31.505324389999998</v>
      </c>
      <c r="ND3">
        <v>1.85857498</v>
      </c>
      <c r="NE3">
        <v>76.026165349999999</v>
      </c>
      <c r="NF3">
        <v>56.614351220000003</v>
      </c>
      <c r="NG3">
        <v>117235.8094</v>
      </c>
      <c r="NH3">
        <v>3.9568535000000002E-2</v>
      </c>
    </row>
    <row r="4" spans="1:372" x14ac:dyDescent="0.3">
      <c r="A4" t="s">
        <v>372</v>
      </c>
      <c r="B4">
        <v>43781.947379999998</v>
      </c>
      <c r="C4">
        <v>39033.462359999998</v>
      </c>
      <c r="D4">
        <v>12.956485819999999</v>
      </c>
      <c r="E4">
        <v>1614.7573130000001</v>
      </c>
      <c r="F4">
        <v>339.31583089999998</v>
      </c>
      <c r="G4">
        <v>546.26629409999998</v>
      </c>
      <c r="H4">
        <v>93.155748709999997</v>
      </c>
      <c r="I4">
        <v>153.73706559999999</v>
      </c>
      <c r="J4">
        <v>30.604863770000001</v>
      </c>
      <c r="K4">
        <v>36.513513209999999</v>
      </c>
      <c r="L4">
        <v>95.268204370000007</v>
      </c>
      <c r="M4">
        <v>319.60551620000001</v>
      </c>
      <c r="N4">
        <v>512.15482259999999</v>
      </c>
      <c r="O4">
        <v>531.89791720000005</v>
      </c>
      <c r="P4">
        <v>950.08639789999995</v>
      </c>
      <c r="Q4">
        <v>697.71259610000004</v>
      </c>
      <c r="R4">
        <v>535.47374960000002</v>
      </c>
      <c r="S4">
        <v>953.57862399999999</v>
      </c>
      <c r="T4">
        <v>712.7672397</v>
      </c>
      <c r="U4">
        <v>465.39114860000001</v>
      </c>
      <c r="V4">
        <v>0.106425493</v>
      </c>
      <c r="W4">
        <v>6.1221428000000001E-2</v>
      </c>
      <c r="X4">
        <v>0</v>
      </c>
      <c r="Y4">
        <v>0</v>
      </c>
      <c r="Z4">
        <v>0.20053517700000001</v>
      </c>
      <c r="AA4">
        <v>0.47242539099999997</v>
      </c>
      <c r="AB4">
        <v>1.0257960999999999E-2</v>
      </c>
      <c r="AC4">
        <v>5.1291829999999998E-3</v>
      </c>
      <c r="AD4">
        <v>0.17820170099999999</v>
      </c>
      <c r="AE4">
        <v>0.16667414999999999</v>
      </c>
      <c r="AF4">
        <v>0.25092499400000001</v>
      </c>
      <c r="AG4">
        <v>0.20831592199999999</v>
      </c>
      <c r="AH4">
        <v>0.22253102899999999</v>
      </c>
      <c r="AI4">
        <v>0.20271434099999999</v>
      </c>
      <c r="AJ4">
        <v>0.19938956299999999</v>
      </c>
      <c r="AK4">
        <v>0.10032503800000001</v>
      </c>
      <c r="AL4">
        <v>9.9486440999999995E-2</v>
      </c>
      <c r="AM4">
        <v>5.1291829999999998E-3</v>
      </c>
      <c r="AN4">
        <v>5.1291829999999998E-3</v>
      </c>
      <c r="AO4">
        <v>0.219703068</v>
      </c>
      <c r="AP4">
        <v>0.15196240599999999</v>
      </c>
      <c r="AQ4">
        <v>7.2616821999999998E-2</v>
      </c>
      <c r="AR4">
        <v>4.2413832999999998E-2</v>
      </c>
      <c r="AS4">
        <v>3.8012009999999999E-2</v>
      </c>
      <c r="AT4">
        <v>5.1291829999999998E-3</v>
      </c>
      <c r="AU4">
        <v>5.1291829999999998E-3</v>
      </c>
      <c r="AV4">
        <v>6.4642946000000007E-2</v>
      </c>
      <c r="AW4">
        <v>6.0145571000000002E-2</v>
      </c>
      <c r="AX4">
        <v>5.1859638999999999E-2</v>
      </c>
      <c r="AY4">
        <v>0.20143413199999999</v>
      </c>
      <c r="AZ4">
        <v>0.190918808</v>
      </c>
      <c r="BA4">
        <v>0.16040322500000001</v>
      </c>
      <c r="BB4">
        <v>0.15502104899999999</v>
      </c>
      <c r="BC4">
        <v>0.16370527400000001</v>
      </c>
      <c r="BD4">
        <v>0.15502104899999999</v>
      </c>
      <c r="BE4">
        <v>0.151921165</v>
      </c>
      <c r="BF4">
        <v>0.151921165</v>
      </c>
      <c r="BG4">
        <v>0</v>
      </c>
      <c r="BH4">
        <v>0</v>
      </c>
      <c r="BI4">
        <v>0</v>
      </c>
      <c r="BJ4">
        <v>0</v>
      </c>
      <c r="BK4">
        <v>1.0257960999999999E-2</v>
      </c>
      <c r="BL4">
        <v>5.1291829999999998E-3</v>
      </c>
      <c r="BM4">
        <v>6.7019935000000003E-2</v>
      </c>
      <c r="BN4">
        <v>0.44248294100000002</v>
      </c>
      <c r="BO4">
        <v>6.5245455999999993E-2</v>
      </c>
      <c r="BP4">
        <v>6.0470367999999997E-2</v>
      </c>
      <c r="BQ4">
        <v>3.4767213999999998E-2</v>
      </c>
      <c r="BR4">
        <v>3.2825511000000002E-2</v>
      </c>
      <c r="BS4">
        <v>3.2825511000000002E-2</v>
      </c>
      <c r="BT4">
        <v>2.7372437999999999E-2</v>
      </c>
      <c r="BU4">
        <v>2.5120159E-2</v>
      </c>
      <c r="BV4">
        <v>5.1291829999999998E-3</v>
      </c>
      <c r="BW4">
        <v>5.1291829999999998E-3</v>
      </c>
      <c r="BX4">
        <v>0.258980355</v>
      </c>
      <c r="BY4">
        <v>0.24698418799999999</v>
      </c>
      <c r="BZ4">
        <v>0.24698418799999999</v>
      </c>
      <c r="CA4">
        <v>0.32407863599999998</v>
      </c>
      <c r="CB4">
        <v>0.106244174</v>
      </c>
      <c r="CC4">
        <v>6.0900695999999997E-2</v>
      </c>
      <c r="CD4">
        <v>0.32580168300000001</v>
      </c>
      <c r="CE4">
        <v>0</v>
      </c>
      <c r="CF4">
        <v>6.0900695999999997E-2</v>
      </c>
      <c r="CG4">
        <v>4.3330937999999999E-2</v>
      </c>
      <c r="CH4">
        <v>4.1159016E-2</v>
      </c>
      <c r="CI4">
        <v>0</v>
      </c>
      <c r="CJ4">
        <v>0</v>
      </c>
      <c r="CK4">
        <v>0.32037850600000001</v>
      </c>
      <c r="CL4">
        <v>0.18462624699999999</v>
      </c>
      <c r="CM4">
        <v>0.90956572400000002</v>
      </c>
      <c r="CN4">
        <v>0.65647896800000005</v>
      </c>
      <c r="CO4">
        <v>1.43190153</v>
      </c>
      <c r="CP4">
        <v>3.0773884000000001E-2</v>
      </c>
      <c r="CQ4">
        <v>1.538755E-2</v>
      </c>
      <c r="CR4">
        <v>0.53492991499999998</v>
      </c>
      <c r="CS4">
        <v>0.50002245000000001</v>
      </c>
      <c r="CT4">
        <v>0.89023596699999996</v>
      </c>
      <c r="CU4">
        <v>0.63725865400000004</v>
      </c>
      <c r="CV4">
        <v>0.74582181599999997</v>
      </c>
      <c r="CW4">
        <v>0.61882629600000005</v>
      </c>
      <c r="CX4">
        <v>0.59874575699999999</v>
      </c>
      <c r="CY4">
        <v>0.404821879</v>
      </c>
      <c r="CZ4">
        <v>0.38137263599999999</v>
      </c>
      <c r="DA4">
        <v>1.538755E-2</v>
      </c>
      <c r="DB4">
        <v>1.538755E-2</v>
      </c>
      <c r="DC4">
        <v>0.71302220100000002</v>
      </c>
      <c r="DD4">
        <v>0.61081501400000004</v>
      </c>
      <c r="DE4">
        <v>0.224260189</v>
      </c>
      <c r="DF4">
        <v>0.36248007799999998</v>
      </c>
      <c r="DG4">
        <v>0.28876830399999998</v>
      </c>
      <c r="DH4">
        <v>1.538755E-2</v>
      </c>
      <c r="DI4">
        <v>1.538755E-2</v>
      </c>
      <c r="DJ4">
        <v>0.180436712</v>
      </c>
      <c r="DK4">
        <v>0.15557891800000001</v>
      </c>
      <c r="DL4">
        <v>0.60848159099999999</v>
      </c>
      <c r="DM4">
        <v>0.57366237200000003</v>
      </c>
      <c r="DN4">
        <v>0.62859624000000003</v>
      </c>
      <c r="DO4">
        <v>0.62859624000000003</v>
      </c>
      <c r="DP4">
        <v>0.61210963500000004</v>
      </c>
      <c r="DQ4">
        <v>0.61210963500000004</v>
      </c>
      <c r="DR4">
        <v>0.89761771599999995</v>
      </c>
      <c r="DS4">
        <v>0.18076224399999999</v>
      </c>
      <c r="DT4">
        <v>1.8273735550000001</v>
      </c>
      <c r="DU4">
        <v>2.558215975</v>
      </c>
      <c r="DV4">
        <v>7.3220042169999999</v>
      </c>
      <c r="DW4">
        <v>1.2152178380000001</v>
      </c>
      <c r="DX4">
        <v>10.886313530000001</v>
      </c>
      <c r="DY4">
        <v>16.891800709999998</v>
      </c>
      <c r="DZ4">
        <v>7.3895385879999997</v>
      </c>
      <c r="EA4">
        <v>1.228509928</v>
      </c>
      <c r="EB4">
        <v>11.11289876</v>
      </c>
      <c r="EC4">
        <v>17.17590002</v>
      </c>
      <c r="ED4">
        <v>0</v>
      </c>
      <c r="EE4">
        <v>0</v>
      </c>
      <c r="EF4">
        <v>0</v>
      </c>
      <c r="EG4">
        <v>0</v>
      </c>
      <c r="EH4">
        <v>3.0773884000000001E-2</v>
      </c>
      <c r="EI4">
        <v>1.538755E-2</v>
      </c>
      <c r="EJ4">
        <v>1.3366536579999999</v>
      </c>
      <c r="EK4">
        <v>1.642786562</v>
      </c>
      <c r="EL4">
        <v>0.40662386099999998</v>
      </c>
      <c r="EM4">
        <v>0.33160890700000001</v>
      </c>
      <c r="EN4">
        <v>0.13970239700000001</v>
      </c>
      <c r="EO4">
        <v>0.13970239700000001</v>
      </c>
      <c r="EP4">
        <v>0.101456772</v>
      </c>
      <c r="EQ4">
        <v>8.6338212999999997E-2</v>
      </c>
      <c r="ER4">
        <v>1.538755E-2</v>
      </c>
      <c r="ES4">
        <v>1.538755E-2</v>
      </c>
      <c r="ET4">
        <v>2.8682166269999998</v>
      </c>
      <c r="EU4">
        <v>1.6502734100000001</v>
      </c>
      <c r="EV4">
        <v>2.2411408750000001</v>
      </c>
      <c r="EW4">
        <v>2.2411408750000001</v>
      </c>
      <c r="EX4">
        <v>1.1391586010000001</v>
      </c>
      <c r="EY4">
        <v>0.31928496699999998</v>
      </c>
      <c r="EZ4">
        <v>0.18270208900000001</v>
      </c>
      <c r="FA4">
        <v>1.105296729</v>
      </c>
      <c r="FB4">
        <v>0</v>
      </c>
      <c r="FC4">
        <v>0.18270208900000001</v>
      </c>
      <c r="FD4">
        <v>0.94412280900000001</v>
      </c>
      <c r="FE4">
        <v>1.497703344</v>
      </c>
      <c r="FF4">
        <v>0.13135013800000001</v>
      </c>
      <c r="FG4">
        <v>0.12347704800000001</v>
      </c>
      <c r="FH4">
        <v>0</v>
      </c>
      <c r="FI4">
        <v>0</v>
      </c>
      <c r="FJ4">
        <v>10937.473019999999</v>
      </c>
      <c r="FK4">
        <v>9852.1400730000005</v>
      </c>
      <c r="FL4">
        <v>83.096796990000001</v>
      </c>
      <c r="FM4">
        <v>2515.6563019999999</v>
      </c>
      <c r="FN4">
        <v>48144.713969999997</v>
      </c>
      <c r="FO4">
        <v>32619.134249999999</v>
      </c>
      <c r="FP4">
        <v>20016.489150000001</v>
      </c>
      <c r="FQ4">
        <v>113.5975588</v>
      </c>
      <c r="FR4">
        <v>38416.753969999998</v>
      </c>
      <c r="FS4">
        <v>2839.6189639999998</v>
      </c>
      <c r="FT4">
        <v>22698.129959999998</v>
      </c>
      <c r="FU4">
        <v>10934.96616</v>
      </c>
      <c r="FV4">
        <v>2477.8107439999999</v>
      </c>
      <c r="FW4">
        <v>48008.529340000001</v>
      </c>
      <c r="FX4">
        <v>739.77662599999996</v>
      </c>
      <c r="FY4">
        <v>726.88266880000003</v>
      </c>
      <c r="FZ4">
        <v>0</v>
      </c>
      <c r="GA4">
        <v>0</v>
      </c>
      <c r="GB4">
        <v>83.096796990000001</v>
      </c>
      <c r="GC4">
        <v>63014.078139999998</v>
      </c>
      <c r="GD4">
        <v>23316.398819999999</v>
      </c>
      <c r="GE4">
        <v>126.68015250000001</v>
      </c>
      <c r="GF4">
        <v>797.8395567</v>
      </c>
      <c r="GG4">
        <v>141.4485976</v>
      </c>
      <c r="GH4">
        <v>472.09886289999997</v>
      </c>
      <c r="GI4">
        <v>113.9687563</v>
      </c>
      <c r="GJ4">
        <v>0</v>
      </c>
      <c r="GK4">
        <v>49145.313880000002</v>
      </c>
      <c r="GL4">
        <v>5218.4283649999998</v>
      </c>
      <c r="GM4">
        <v>0</v>
      </c>
      <c r="GN4">
        <v>47.362719149999997</v>
      </c>
      <c r="GO4">
        <v>51291831.710000001</v>
      </c>
      <c r="GP4">
        <v>51291831.710000001</v>
      </c>
      <c r="GQ4">
        <v>695953654</v>
      </c>
      <c r="GR4">
        <v>226443467.80000001</v>
      </c>
      <c r="GS4">
        <v>36269040.57</v>
      </c>
      <c r="GT4">
        <v>303310818</v>
      </c>
      <c r="GU4">
        <v>223522965.09999999</v>
      </c>
      <c r="GV4">
        <v>162179809.19999999</v>
      </c>
      <c r="GW4">
        <v>36269040.57</v>
      </c>
      <c r="GX4">
        <v>72536649.819999993</v>
      </c>
      <c r="GY4">
        <v>72536649.819999993</v>
      </c>
      <c r="GZ4">
        <v>81097906.5</v>
      </c>
      <c r="HA4">
        <v>36269040.57</v>
      </c>
      <c r="HB4">
        <v>234986852.90000001</v>
      </c>
      <c r="HC4">
        <v>695953654</v>
      </c>
      <c r="HD4">
        <v>226443467.80000001</v>
      </c>
      <c r="HE4">
        <v>36269040.57</v>
      </c>
      <c r="HF4">
        <v>303310818</v>
      </c>
      <c r="HG4">
        <v>223522965.09999999</v>
      </c>
      <c r="HH4">
        <v>162179809.19999999</v>
      </c>
      <c r="HI4">
        <v>36269040.57</v>
      </c>
      <c r="HJ4">
        <v>72536649.819999993</v>
      </c>
      <c r="HK4">
        <v>72536649.819999993</v>
      </c>
      <c r="HL4">
        <v>81097906.5</v>
      </c>
      <c r="HM4">
        <v>36269040.57</v>
      </c>
      <c r="HN4">
        <v>234986852.90000001</v>
      </c>
      <c r="HO4">
        <v>0</v>
      </c>
      <c r="HP4">
        <v>57.320958500000003</v>
      </c>
      <c r="HQ4">
        <v>0</v>
      </c>
      <c r="HR4">
        <v>4.0994612950000002</v>
      </c>
      <c r="HS4">
        <v>25334.468110000002</v>
      </c>
      <c r="HT4">
        <v>11252.99509</v>
      </c>
      <c r="HU4">
        <v>22120.719160000001</v>
      </c>
      <c r="HV4">
        <v>2457.0912819999999</v>
      </c>
      <c r="HW4">
        <v>226.8629837</v>
      </c>
      <c r="HX4">
        <v>6.0226924000000004</v>
      </c>
      <c r="HY4">
        <v>554.2494365</v>
      </c>
      <c r="HZ4">
        <v>6368.9967310000002</v>
      </c>
      <c r="IA4">
        <v>1151.5108620000001</v>
      </c>
      <c r="IB4">
        <v>13620.44217</v>
      </c>
      <c r="IC4">
        <v>0</v>
      </c>
      <c r="ID4">
        <v>2859.7365909999999</v>
      </c>
      <c r="IE4">
        <v>43.621319139999997</v>
      </c>
      <c r="IF4">
        <v>1093.133883</v>
      </c>
      <c r="IG4">
        <v>0</v>
      </c>
      <c r="IH4">
        <v>4.352284869</v>
      </c>
      <c r="II4">
        <v>14255.8881</v>
      </c>
      <c r="IJ4">
        <v>25355.717430000001</v>
      </c>
      <c r="IK4">
        <v>388.24502180000002</v>
      </c>
      <c r="IL4">
        <v>508.96883059999999</v>
      </c>
      <c r="IM4">
        <v>0</v>
      </c>
      <c r="IN4">
        <v>357.40532969999998</v>
      </c>
      <c r="IO4">
        <v>323.81426099999999</v>
      </c>
      <c r="IP4">
        <v>53.408084600000002</v>
      </c>
      <c r="IQ4">
        <v>0</v>
      </c>
      <c r="IR4">
        <v>10.880712170000001</v>
      </c>
      <c r="IS4">
        <v>811.97608649999995</v>
      </c>
      <c r="IT4">
        <v>11282.41339</v>
      </c>
      <c r="IU4">
        <v>6.2818989999999996E-3</v>
      </c>
      <c r="IV4">
        <v>5.1859638999999999E-2</v>
      </c>
      <c r="IW4">
        <v>0.27264247000000003</v>
      </c>
      <c r="IX4">
        <v>0.28925352300000001</v>
      </c>
      <c r="IY4">
        <v>0.29578158399999999</v>
      </c>
      <c r="IZ4">
        <v>0.28023531499999998</v>
      </c>
      <c r="JA4">
        <v>0.24930830400000001</v>
      </c>
      <c r="JB4">
        <v>0.335542813</v>
      </c>
      <c r="JC4">
        <v>393.83493950000002</v>
      </c>
      <c r="JD4">
        <v>0</v>
      </c>
      <c r="JE4">
        <v>0</v>
      </c>
      <c r="JF4">
        <v>0.55249913900000003</v>
      </c>
      <c r="JG4">
        <v>0.28875654699999997</v>
      </c>
      <c r="JH4">
        <v>0.10491919</v>
      </c>
      <c r="JI4">
        <v>0.174059456</v>
      </c>
      <c r="JJ4">
        <v>6.9662862000000006E-2</v>
      </c>
      <c r="JK4">
        <v>3.4406610999999997E-2</v>
      </c>
      <c r="JL4">
        <v>1.8845698000000001E-2</v>
      </c>
      <c r="JM4">
        <v>0.22878226500000001</v>
      </c>
      <c r="JN4">
        <v>9.9111303999999997E-2</v>
      </c>
      <c r="JO4">
        <v>0.31545268900000001</v>
      </c>
      <c r="JP4">
        <v>0.99501636900000001</v>
      </c>
      <c r="JQ4">
        <v>3.4502675119999999</v>
      </c>
      <c r="JR4">
        <v>3.263333168</v>
      </c>
      <c r="JS4">
        <v>2.104410084</v>
      </c>
      <c r="JT4">
        <v>6.2061158550000002</v>
      </c>
      <c r="JU4">
        <v>1.8352670129999999</v>
      </c>
      <c r="JV4">
        <v>10.930333689999999</v>
      </c>
      <c r="JW4">
        <v>1.2989240040000001</v>
      </c>
      <c r="JX4">
        <v>0.33490830100000002</v>
      </c>
      <c r="JY4">
        <v>0.48768735899999999</v>
      </c>
      <c r="JZ4">
        <v>0.48606398000000001</v>
      </c>
      <c r="KA4">
        <v>0.21309475999999999</v>
      </c>
      <c r="KB4">
        <v>1.0258366E-2</v>
      </c>
      <c r="KC4">
        <v>7.7647948999999994E-2</v>
      </c>
      <c r="KD4">
        <v>1.3570314E-2</v>
      </c>
      <c r="KE4">
        <v>6.2487035000000003E-2</v>
      </c>
      <c r="KF4">
        <v>0.719654609</v>
      </c>
      <c r="KG4">
        <v>8.8174398000000001E-2</v>
      </c>
      <c r="KH4">
        <v>9.1314056600000004</v>
      </c>
      <c r="KI4">
        <v>14.919725659999999</v>
      </c>
      <c r="KJ4">
        <v>2.0894083320000001</v>
      </c>
      <c r="KK4">
        <v>4.288144677</v>
      </c>
      <c r="KL4">
        <v>0.147171516</v>
      </c>
      <c r="KM4">
        <v>0.202068261</v>
      </c>
      <c r="KN4">
        <v>8.7994942839999997</v>
      </c>
      <c r="KO4">
        <v>14.14065033</v>
      </c>
      <c r="KP4">
        <v>3.2109992749999998</v>
      </c>
      <c r="KQ4">
        <v>5.1603962579999996</v>
      </c>
      <c r="KR4">
        <v>3.22631442</v>
      </c>
      <c r="KS4">
        <v>5.1810915489999996</v>
      </c>
      <c r="KT4">
        <v>0</v>
      </c>
      <c r="KU4">
        <v>6.7056889999999994E-2</v>
      </c>
      <c r="KV4">
        <v>1.0880712000000001E-2</v>
      </c>
      <c r="KW4">
        <v>9.8522574000000002E-2</v>
      </c>
      <c r="KX4">
        <v>0</v>
      </c>
      <c r="KY4">
        <v>1.0880712000000001E-2</v>
      </c>
      <c r="KZ4">
        <v>0.154948802</v>
      </c>
      <c r="LA4">
        <v>2.2158531340000001</v>
      </c>
      <c r="LB4">
        <v>3.5576596810000001</v>
      </c>
      <c r="LC4">
        <v>1.1721482089999999</v>
      </c>
      <c r="LD4">
        <v>2.4329884E-2</v>
      </c>
      <c r="LE4">
        <v>2.1760995000000002E-2</v>
      </c>
      <c r="LF4">
        <v>0</v>
      </c>
      <c r="LG4">
        <v>2.1760995000000002E-2</v>
      </c>
      <c r="LH4">
        <v>2.6651316000000001E-2</v>
      </c>
      <c r="LI4">
        <v>3.0774592999999999E-2</v>
      </c>
      <c r="LJ4">
        <v>0</v>
      </c>
      <c r="LK4">
        <v>1.0880712000000001E-2</v>
      </c>
      <c r="LL4">
        <v>2.6651900999999999E-2</v>
      </c>
      <c r="LM4">
        <v>0.26425635800000002</v>
      </c>
      <c r="LN4">
        <v>14.496095439999999</v>
      </c>
      <c r="LO4">
        <v>10.416821240000001</v>
      </c>
      <c r="LP4">
        <v>14.40648479</v>
      </c>
      <c r="LQ4">
        <v>33.304012180000001</v>
      </c>
      <c r="LR4">
        <v>0</v>
      </c>
      <c r="LS4">
        <v>12148.4524</v>
      </c>
      <c r="LT4">
        <v>9888.5969999999998</v>
      </c>
      <c r="LU4">
        <v>9614.9069849999996</v>
      </c>
      <c r="LV4">
        <v>8189.9488520000004</v>
      </c>
      <c r="LW4">
        <v>1733.8382260000001</v>
      </c>
      <c r="LX4">
        <v>519.38915689999999</v>
      </c>
      <c r="LY4">
        <v>2205.249804</v>
      </c>
      <c r="LZ4">
        <v>1935.305713</v>
      </c>
      <c r="MA4">
        <v>37773.139000000003</v>
      </c>
      <c r="MB4">
        <v>9292.7527260000006</v>
      </c>
      <c r="MC4">
        <v>46202.536699999997</v>
      </c>
      <c r="MD4">
        <v>35507.18316</v>
      </c>
      <c r="ME4">
        <v>26359.174220000001</v>
      </c>
      <c r="MF4">
        <v>7182.6425319999998</v>
      </c>
      <c r="MG4">
        <v>31886.61519</v>
      </c>
      <c r="MH4">
        <v>25572.245050000001</v>
      </c>
      <c r="MI4">
        <v>13082.155870000001</v>
      </c>
      <c r="MJ4">
        <v>4698.8680750000003</v>
      </c>
      <c r="MK4">
        <v>16006.98057</v>
      </c>
      <c r="ML4">
        <v>12422.51837</v>
      </c>
      <c r="MM4">
        <v>34.62551835</v>
      </c>
      <c r="MN4">
        <v>0</v>
      </c>
      <c r="MO4">
        <v>113.5975588</v>
      </c>
      <c r="MP4">
        <v>73.376512790000007</v>
      </c>
      <c r="MQ4">
        <v>15392.475710000001</v>
      </c>
      <c r="MR4">
        <v>8612.3952119999994</v>
      </c>
      <c r="MS4">
        <v>14956.526229999999</v>
      </c>
      <c r="MT4">
        <v>13082.15746</v>
      </c>
      <c r="MU4">
        <v>41.820444449999997</v>
      </c>
      <c r="MV4">
        <v>0.52662646899999999</v>
      </c>
      <c r="MW4">
        <v>52.078775380000003</v>
      </c>
      <c r="MX4">
        <v>31.879418040000001</v>
      </c>
      <c r="MY4">
        <v>455.88721800000002</v>
      </c>
      <c r="MZ4">
        <v>113.9596373</v>
      </c>
      <c r="NA4">
        <v>783.20739890000004</v>
      </c>
      <c r="NB4">
        <v>538.43921049999994</v>
      </c>
      <c r="NC4">
        <v>2013.125393</v>
      </c>
      <c r="ND4">
        <v>147.78658419999999</v>
      </c>
      <c r="NE4">
        <v>4040.3378419999999</v>
      </c>
      <c r="NF4">
        <v>2852.579397</v>
      </c>
      <c r="NG4">
        <v>182664.59849999999</v>
      </c>
      <c r="NH4">
        <v>0.19494451900000001</v>
      </c>
    </row>
    <row r="5" spans="1:372" x14ac:dyDescent="0.3">
      <c r="A5" t="s">
        <v>373</v>
      </c>
      <c r="B5">
        <v>1</v>
      </c>
      <c r="C5">
        <v>-999999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-0.9</v>
      </c>
      <c r="FK5">
        <v>-2895.72</v>
      </c>
      <c r="FL5">
        <v>0</v>
      </c>
      <c r="FM5">
        <v>-4942.26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-4942.26</v>
      </c>
      <c r="GD5">
        <v>0</v>
      </c>
      <c r="GE5">
        <v>0</v>
      </c>
      <c r="GF5">
        <v>0</v>
      </c>
      <c r="GG5">
        <v>0</v>
      </c>
      <c r="GH5">
        <v>0</v>
      </c>
      <c r="GI5">
        <v>-0.9</v>
      </c>
      <c r="GJ5">
        <v>0</v>
      </c>
      <c r="GK5">
        <v>-4942.26</v>
      </c>
      <c r="GL5">
        <v>0</v>
      </c>
      <c r="GM5">
        <v>0</v>
      </c>
      <c r="GN5">
        <v>0</v>
      </c>
      <c r="GO5">
        <v>0</v>
      </c>
      <c r="GP5">
        <v>0</v>
      </c>
      <c r="GQ5">
        <v>-1</v>
      </c>
      <c r="GR5">
        <v>-1</v>
      </c>
      <c r="GS5">
        <v>-1</v>
      </c>
      <c r="GT5">
        <v>-1</v>
      </c>
      <c r="GU5">
        <v>0</v>
      </c>
      <c r="GV5">
        <v>-1</v>
      </c>
      <c r="GW5">
        <v>0</v>
      </c>
      <c r="GX5">
        <v>-1</v>
      </c>
      <c r="GY5">
        <v>0</v>
      </c>
      <c r="GZ5">
        <v>-1</v>
      </c>
      <c r="HA5">
        <v>0</v>
      </c>
      <c r="HB5">
        <v>-1</v>
      </c>
      <c r="HC5">
        <v>-1</v>
      </c>
      <c r="HD5">
        <v>-1</v>
      </c>
      <c r="HE5">
        <v>-1</v>
      </c>
      <c r="HF5">
        <v>-1</v>
      </c>
      <c r="HG5">
        <v>0</v>
      </c>
      <c r="HH5">
        <v>-1</v>
      </c>
      <c r="HI5">
        <v>0</v>
      </c>
      <c r="HJ5">
        <v>-1</v>
      </c>
      <c r="HK5">
        <v>0</v>
      </c>
      <c r="HL5">
        <v>-1</v>
      </c>
      <c r="HM5">
        <v>0</v>
      </c>
      <c r="HN5">
        <v>-1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-128.37</v>
      </c>
      <c r="LT5">
        <v>-8.0399999999999991</v>
      </c>
      <c r="LU5">
        <v>-922.38</v>
      </c>
      <c r="LV5">
        <v>-476.07</v>
      </c>
      <c r="LW5">
        <v>-287.67</v>
      </c>
      <c r="LX5">
        <v>0</v>
      </c>
      <c r="LY5">
        <v>-3401.34</v>
      </c>
      <c r="LZ5">
        <v>-1844.52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-0.03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5163.75</v>
      </c>
      <c r="NH5">
        <v>0</v>
      </c>
    </row>
    <row r="6" spans="1:372" x14ac:dyDescent="0.3">
      <c r="A6" s="2">
        <v>0.25</v>
      </c>
      <c r="B6">
        <v>38104.75</v>
      </c>
      <c r="C6">
        <v>2</v>
      </c>
      <c r="D6">
        <v>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3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3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3</v>
      </c>
      <c r="EY6">
        <v>0</v>
      </c>
      <c r="EZ6">
        <v>0</v>
      </c>
      <c r="FA6">
        <v>3</v>
      </c>
      <c r="FB6">
        <v>0</v>
      </c>
      <c r="FC6">
        <v>0</v>
      </c>
      <c r="FD6">
        <v>3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2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67870.612500000003</v>
      </c>
      <c r="NH6">
        <v>0</v>
      </c>
    </row>
    <row r="7" spans="1:372" x14ac:dyDescent="0.3">
      <c r="A7" s="2">
        <v>0.5</v>
      </c>
      <c r="B7">
        <v>76043</v>
      </c>
      <c r="C7">
        <v>2</v>
      </c>
      <c r="D7">
        <v>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3</v>
      </c>
      <c r="CO7">
        <v>3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3</v>
      </c>
      <c r="EK7">
        <v>3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</v>
      </c>
      <c r="EU7">
        <v>0</v>
      </c>
      <c r="EV7">
        <v>0</v>
      </c>
      <c r="EW7">
        <v>0</v>
      </c>
      <c r="EX7">
        <v>3</v>
      </c>
      <c r="EY7">
        <v>0</v>
      </c>
      <c r="EZ7">
        <v>0</v>
      </c>
      <c r="FA7">
        <v>3</v>
      </c>
      <c r="FB7">
        <v>0</v>
      </c>
      <c r="FC7">
        <v>0</v>
      </c>
      <c r="FD7">
        <v>3</v>
      </c>
      <c r="FE7">
        <v>3</v>
      </c>
      <c r="FF7">
        <v>0</v>
      </c>
      <c r="FG7">
        <v>0</v>
      </c>
      <c r="FH7">
        <v>0</v>
      </c>
      <c r="FI7">
        <v>0</v>
      </c>
      <c r="FJ7">
        <v>0</v>
      </c>
      <c r="FK7">
        <v>3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3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3</v>
      </c>
      <c r="GL7">
        <v>0</v>
      </c>
      <c r="GM7">
        <v>0</v>
      </c>
      <c r="GN7">
        <v>3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3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2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3</v>
      </c>
      <c r="LT7">
        <v>0.99</v>
      </c>
      <c r="LU7">
        <v>3</v>
      </c>
      <c r="LV7">
        <v>2.73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106409.16</v>
      </c>
      <c r="NH7">
        <v>0</v>
      </c>
    </row>
    <row r="8" spans="1:372" x14ac:dyDescent="0.3">
      <c r="A8" s="2">
        <v>0.75</v>
      </c>
      <c r="B8">
        <v>113748.75</v>
      </c>
      <c r="C8">
        <v>2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3</v>
      </c>
      <c r="CO8">
        <v>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3</v>
      </c>
      <c r="EK8">
        <v>3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</v>
      </c>
      <c r="EU8">
        <v>0</v>
      </c>
      <c r="EV8">
        <v>0</v>
      </c>
      <c r="EW8">
        <v>0</v>
      </c>
      <c r="EX8">
        <v>3</v>
      </c>
      <c r="EY8">
        <v>0</v>
      </c>
      <c r="EZ8">
        <v>0</v>
      </c>
      <c r="FA8">
        <v>3</v>
      </c>
      <c r="FB8">
        <v>0</v>
      </c>
      <c r="FC8">
        <v>0</v>
      </c>
      <c r="FD8">
        <v>3</v>
      </c>
      <c r="FE8">
        <v>3</v>
      </c>
      <c r="FF8">
        <v>0</v>
      </c>
      <c r="FG8">
        <v>0</v>
      </c>
      <c r="FH8">
        <v>0</v>
      </c>
      <c r="FI8">
        <v>0</v>
      </c>
      <c r="FJ8">
        <v>0</v>
      </c>
      <c r="FK8">
        <v>90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235.995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120</v>
      </c>
      <c r="GL8">
        <v>0</v>
      </c>
      <c r="GM8">
        <v>0</v>
      </c>
      <c r="GN8">
        <v>99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3</v>
      </c>
      <c r="JU8">
        <v>0</v>
      </c>
      <c r="JV8">
        <v>3</v>
      </c>
      <c r="JW8">
        <v>3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2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3</v>
      </c>
      <c r="LO8">
        <v>3</v>
      </c>
      <c r="LP8">
        <v>3</v>
      </c>
      <c r="LQ8">
        <v>12</v>
      </c>
      <c r="LR8">
        <v>0</v>
      </c>
      <c r="LS8">
        <v>90</v>
      </c>
      <c r="LT8">
        <v>12.217499999999999</v>
      </c>
      <c r="LU8">
        <v>90</v>
      </c>
      <c r="LV8">
        <v>83.79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118756.2525</v>
      </c>
      <c r="NH8">
        <v>0</v>
      </c>
    </row>
    <row r="9" spans="1:372" x14ac:dyDescent="0.3">
      <c r="A9" t="s">
        <v>374</v>
      </c>
      <c r="B9">
        <v>151838</v>
      </c>
      <c r="C9">
        <v>238</v>
      </c>
      <c r="D9">
        <v>105</v>
      </c>
      <c r="E9">
        <v>210000</v>
      </c>
      <c r="F9">
        <v>12888.03</v>
      </c>
      <c r="G9">
        <v>21024.81</v>
      </c>
      <c r="H9">
        <v>8237.82</v>
      </c>
      <c r="I9">
        <v>11073.57</v>
      </c>
      <c r="J9">
        <v>6600</v>
      </c>
      <c r="K9">
        <v>6600</v>
      </c>
      <c r="L9">
        <v>8237.82</v>
      </c>
      <c r="M9">
        <v>12888.03</v>
      </c>
      <c r="N9">
        <v>16566.810000000001</v>
      </c>
      <c r="O9">
        <v>45990</v>
      </c>
      <c r="P9">
        <v>131100</v>
      </c>
      <c r="Q9">
        <v>47598.09</v>
      </c>
      <c r="R9">
        <v>45990</v>
      </c>
      <c r="S9">
        <v>131100</v>
      </c>
      <c r="T9">
        <v>47598.09</v>
      </c>
      <c r="U9">
        <v>105000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0</v>
      </c>
      <c r="CK9">
        <v>6</v>
      </c>
      <c r="CL9">
        <v>6</v>
      </c>
      <c r="CM9">
        <v>7</v>
      </c>
      <c r="CN9">
        <v>15</v>
      </c>
      <c r="CO9">
        <v>15</v>
      </c>
      <c r="CP9">
        <v>3</v>
      </c>
      <c r="CQ9">
        <v>3</v>
      </c>
      <c r="CR9">
        <v>6</v>
      </c>
      <c r="CS9">
        <v>3</v>
      </c>
      <c r="CT9">
        <v>111</v>
      </c>
      <c r="CU9">
        <v>15</v>
      </c>
      <c r="CV9">
        <v>18</v>
      </c>
      <c r="CW9">
        <v>6</v>
      </c>
      <c r="CX9">
        <v>6</v>
      </c>
      <c r="CY9">
        <v>18</v>
      </c>
      <c r="CZ9">
        <v>18</v>
      </c>
      <c r="DA9">
        <v>3</v>
      </c>
      <c r="DB9">
        <v>3</v>
      </c>
      <c r="DC9">
        <v>18</v>
      </c>
      <c r="DD9">
        <v>111</v>
      </c>
      <c r="DE9">
        <v>12</v>
      </c>
      <c r="DF9">
        <v>36</v>
      </c>
      <c r="DG9">
        <v>27</v>
      </c>
      <c r="DH9">
        <v>3</v>
      </c>
      <c r="DI9">
        <v>3</v>
      </c>
      <c r="DJ9">
        <v>3</v>
      </c>
      <c r="DK9">
        <v>3</v>
      </c>
      <c r="DL9">
        <v>9</v>
      </c>
      <c r="DM9">
        <v>6</v>
      </c>
      <c r="DN9">
        <v>33</v>
      </c>
      <c r="DO9">
        <v>33</v>
      </c>
      <c r="DP9">
        <v>33</v>
      </c>
      <c r="DQ9">
        <v>33</v>
      </c>
      <c r="DR9">
        <v>117</v>
      </c>
      <c r="DS9">
        <v>48</v>
      </c>
      <c r="DT9">
        <v>234</v>
      </c>
      <c r="DU9">
        <v>351</v>
      </c>
      <c r="DV9">
        <v>249</v>
      </c>
      <c r="DW9">
        <v>81</v>
      </c>
      <c r="DX9">
        <v>468</v>
      </c>
      <c r="DY9">
        <v>468</v>
      </c>
      <c r="DZ9">
        <v>249</v>
      </c>
      <c r="EA9">
        <v>81</v>
      </c>
      <c r="EB9">
        <v>468</v>
      </c>
      <c r="EC9">
        <v>468</v>
      </c>
      <c r="ED9">
        <v>0</v>
      </c>
      <c r="EE9">
        <v>0</v>
      </c>
      <c r="EF9">
        <v>0</v>
      </c>
      <c r="EG9">
        <v>0</v>
      </c>
      <c r="EH9">
        <v>3</v>
      </c>
      <c r="EI9">
        <v>3</v>
      </c>
      <c r="EJ9">
        <v>114</v>
      </c>
      <c r="EK9">
        <v>33</v>
      </c>
      <c r="EL9">
        <v>36</v>
      </c>
      <c r="EM9">
        <v>27</v>
      </c>
      <c r="EN9">
        <v>12</v>
      </c>
      <c r="EO9">
        <v>12</v>
      </c>
      <c r="EP9">
        <v>12</v>
      </c>
      <c r="EQ9">
        <v>6</v>
      </c>
      <c r="ER9">
        <v>3</v>
      </c>
      <c r="ES9">
        <v>3</v>
      </c>
      <c r="ET9">
        <v>36</v>
      </c>
      <c r="EU9">
        <v>105</v>
      </c>
      <c r="EV9">
        <v>114</v>
      </c>
      <c r="EW9">
        <v>114</v>
      </c>
      <c r="EX9">
        <v>33</v>
      </c>
      <c r="EY9">
        <v>6</v>
      </c>
      <c r="EZ9">
        <v>3</v>
      </c>
      <c r="FA9">
        <v>33</v>
      </c>
      <c r="FB9">
        <v>0</v>
      </c>
      <c r="FC9">
        <v>3</v>
      </c>
      <c r="FD9">
        <v>114</v>
      </c>
      <c r="FE9">
        <v>18</v>
      </c>
      <c r="FF9">
        <v>6</v>
      </c>
      <c r="FG9">
        <v>3</v>
      </c>
      <c r="FH9">
        <v>0</v>
      </c>
      <c r="FI9">
        <v>0</v>
      </c>
      <c r="FJ9">
        <v>3000000</v>
      </c>
      <c r="FK9">
        <v>619329.15</v>
      </c>
      <c r="FL9">
        <v>19531.8</v>
      </c>
      <c r="FM9">
        <v>240045</v>
      </c>
      <c r="FN9">
        <v>3008077.32</v>
      </c>
      <c r="FO9">
        <v>450000</v>
      </c>
      <c r="FP9">
        <v>1500000</v>
      </c>
      <c r="FQ9">
        <v>30000</v>
      </c>
      <c r="FR9">
        <v>1500000</v>
      </c>
      <c r="FS9">
        <v>450000</v>
      </c>
      <c r="FT9">
        <v>6119500.1399999997</v>
      </c>
      <c r="FU9">
        <v>3000000</v>
      </c>
      <c r="FV9">
        <v>455858.16</v>
      </c>
      <c r="FW9">
        <v>3008077.32</v>
      </c>
      <c r="FX9">
        <v>69756.72</v>
      </c>
      <c r="FY9">
        <v>69756.72</v>
      </c>
      <c r="FZ9">
        <v>0</v>
      </c>
      <c r="GA9">
        <v>0</v>
      </c>
      <c r="GB9">
        <v>19531.8</v>
      </c>
      <c r="GC9">
        <v>3458077.32</v>
      </c>
      <c r="GD9">
        <v>6119500.1399999997</v>
      </c>
      <c r="GE9">
        <v>12210.78</v>
      </c>
      <c r="GF9">
        <v>142078.79999999999</v>
      </c>
      <c r="GG9">
        <v>36000</v>
      </c>
      <c r="GH9">
        <v>60000</v>
      </c>
      <c r="GI9">
        <v>8192.61</v>
      </c>
      <c r="GJ9">
        <v>0</v>
      </c>
      <c r="GK9">
        <v>3008077.32</v>
      </c>
      <c r="GL9">
        <v>740006.61</v>
      </c>
      <c r="GM9">
        <v>0</v>
      </c>
      <c r="GN9">
        <v>99</v>
      </c>
      <c r="GO9">
        <v>9999999999</v>
      </c>
      <c r="GP9">
        <v>9999999999</v>
      </c>
      <c r="GQ9">
        <v>9999999999</v>
      </c>
      <c r="GR9">
        <v>9999999999</v>
      </c>
      <c r="GS9">
        <v>9999999999</v>
      </c>
      <c r="GT9">
        <v>9999999999</v>
      </c>
      <c r="GU9">
        <v>9999999999</v>
      </c>
      <c r="GV9">
        <v>9999999999</v>
      </c>
      <c r="GW9">
        <v>9999999999</v>
      </c>
      <c r="GX9">
        <v>9999999999</v>
      </c>
      <c r="GY9">
        <v>9999999999</v>
      </c>
      <c r="GZ9">
        <v>9999999999</v>
      </c>
      <c r="HA9">
        <v>9999999999</v>
      </c>
      <c r="HB9">
        <v>9999999999</v>
      </c>
      <c r="HC9">
        <v>9999999999</v>
      </c>
      <c r="HD9">
        <v>9999999999</v>
      </c>
      <c r="HE9">
        <v>9999999999</v>
      </c>
      <c r="HF9">
        <v>9999999999</v>
      </c>
      <c r="HG9">
        <v>9999999999</v>
      </c>
      <c r="HH9">
        <v>9999999999</v>
      </c>
      <c r="HI9">
        <v>9999999999</v>
      </c>
      <c r="HJ9">
        <v>9999999999</v>
      </c>
      <c r="HK9">
        <v>9999999999</v>
      </c>
      <c r="HL9">
        <v>9999999999</v>
      </c>
      <c r="HM9">
        <v>9999999999</v>
      </c>
      <c r="HN9">
        <v>9999999999</v>
      </c>
      <c r="HO9">
        <v>0</v>
      </c>
      <c r="HP9">
        <v>15691.8</v>
      </c>
      <c r="HQ9">
        <v>0</v>
      </c>
      <c r="HR9">
        <v>1096.02</v>
      </c>
      <c r="HS9">
        <v>840000</v>
      </c>
      <c r="HT9">
        <v>450000</v>
      </c>
      <c r="HU9">
        <v>6083691.8700000001</v>
      </c>
      <c r="HV9">
        <v>432457.32</v>
      </c>
      <c r="HW9">
        <v>36000</v>
      </c>
      <c r="HX9">
        <v>1260</v>
      </c>
      <c r="HY9">
        <v>145384.92000000001</v>
      </c>
      <c r="HZ9">
        <v>1039260</v>
      </c>
      <c r="IA9">
        <v>210001.35</v>
      </c>
      <c r="IB9">
        <v>3410058.66</v>
      </c>
      <c r="IC9">
        <v>0</v>
      </c>
      <c r="ID9">
        <v>450000</v>
      </c>
      <c r="IE9">
        <v>12027.15</v>
      </c>
      <c r="IF9">
        <v>182132.97</v>
      </c>
      <c r="IG9">
        <v>0</v>
      </c>
      <c r="IH9">
        <v>1200</v>
      </c>
      <c r="II9">
        <v>1155003</v>
      </c>
      <c r="IJ9">
        <v>2310003</v>
      </c>
      <c r="IK9">
        <v>96781.440000000002</v>
      </c>
      <c r="IL9">
        <v>133730.57999999999</v>
      </c>
      <c r="IM9">
        <v>0</v>
      </c>
      <c r="IN9">
        <v>69622.289999999994</v>
      </c>
      <c r="IO9">
        <v>49581.27</v>
      </c>
      <c r="IP9">
        <v>13207.32</v>
      </c>
      <c r="IQ9">
        <v>0</v>
      </c>
      <c r="IR9">
        <v>3000</v>
      </c>
      <c r="IS9">
        <v>209834.4</v>
      </c>
      <c r="IT9">
        <v>2754476.46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30000</v>
      </c>
      <c r="JD9">
        <v>0</v>
      </c>
      <c r="JE9">
        <v>0</v>
      </c>
      <c r="JF9">
        <v>24</v>
      </c>
      <c r="JG9">
        <v>30</v>
      </c>
      <c r="JH9">
        <v>12</v>
      </c>
      <c r="JI9">
        <v>21</v>
      </c>
      <c r="JJ9">
        <v>12</v>
      </c>
      <c r="JK9">
        <v>6</v>
      </c>
      <c r="JL9">
        <v>3</v>
      </c>
      <c r="JM9">
        <v>24</v>
      </c>
      <c r="JN9">
        <v>9</v>
      </c>
      <c r="JO9">
        <v>39</v>
      </c>
      <c r="JP9">
        <v>60</v>
      </c>
      <c r="JQ9">
        <v>123</v>
      </c>
      <c r="JR9">
        <v>108</v>
      </c>
      <c r="JS9">
        <v>96</v>
      </c>
      <c r="JT9">
        <v>234</v>
      </c>
      <c r="JU9">
        <v>78</v>
      </c>
      <c r="JV9">
        <v>267</v>
      </c>
      <c r="JW9">
        <v>3</v>
      </c>
      <c r="JX9">
        <v>3</v>
      </c>
      <c r="JY9">
        <v>3</v>
      </c>
      <c r="JZ9">
        <v>3</v>
      </c>
      <c r="KA9">
        <v>3</v>
      </c>
      <c r="KB9">
        <v>2</v>
      </c>
      <c r="KC9">
        <v>3</v>
      </c>
      <c r="KD9">
        <v>2</v>
      </c>
      <c r="KE9">
        <v>3</v>
      </c>
      <c r="KF9">
        <v>3</v>
      </c>
      <c r="KG9">
        <v>3</v>
      </c>
      <c r="KH9">
        <v>438</v>
      </c>
      <c r="KI9">
        <v>600</v>
      </c>
      <c r="KJ9">
        <v>210</v>
      </c>
      <c r="KK9">
        <v>582</v>
      </c>
      <c r="KL9">
        <v>24</v>
      </c>
      <c r="KM9">
        <v>24</v>
      </c>
      <c r="KN9">
        <v>438</v>
      </c>
      <c r="KO9">
        <v>438</v>
      </c>
      <c r="KP9">
        <v>90</v>
      </c>
      <c r="KQ9">
        <v>156</v>
      </c>
      <c r="KR9">
        <v>90</v>
      </c>
      <c r="KS9">
        <v>156</v>
      </c>
      <c r="KT9">
        <v>0</v>
      </c>
      <c r="KU9">
        <v>3</v>
      </c>
      <c r="KV9">
        <v>3</v>
      </c>
      <c r="KW9">
        <v>21</v>
      </c>
      <c r="KX9">
        <v>0</v>
      </c>
      <c r="KY9">
        <v>3</v>
      </c>
      <c r="KZ9">
        <v>15</v>
      </c>
      <c r="LA9">
        <v>180</v>
      </c>
      <c r="LB9">
        <v>264</v>
      </c>
      <c r="LC9">
        <v>93</v>
      </c>
      <c r="LD9">
        <v>6</v>
      </c>
      <c r="LE9">
        <v>3</v>
      </c>
      <c r="LF9">
        <v>0</v>
      </c>
      <c r="LG9">
        <v>3</v>
      </c>
      <c r="LH9">
        <v>3</v>
      </c>
      <c r="LI9">
        <v>6</v>
      </c>
      <c r="LJ9">
        <v>0</v>
      </c>
      <c r="LK9">
        <v>3</v>
      </c>
      <c r="LL9">
        <v>6</v>
      </c>
      <c r="LM9">
        <v>39</v>
      </c>
      <c r="LN9">
        <v>342</v>
      </c>
      <c r="LO9">
        <v>339</v>
      </c>
      <c r="LP9">
        <v>510</v>
      </c>
      <c r="LQ9">
        <v>801</v>
      </c>
      <c r="LR9">
        <v>0</v>
      </c>
      <c r="LS9">
        <v>812137.26</v>
      </c>
      <c r="LT9">
        <v>1542339.36</v>
      </c>
      <c r="LU9">
        <v>601428.6</v>
      </c>
      <c r="LV9">
        <v>544365.56999999995</v>
      </c>
      <c r="LW9">
        <v>231351.99</v>
      </c>
      <c r="LX9">
        <v>77586.210000000006</v>
      </c>
      <c r="LY9">
        <v>228031.8</v>
      </c>
      <c r="LZ9">
        <v>177582</v>
      </c>
      <c r="MA9">
        <v>3000538.14</v>
      </c>
      <c r="MB9">
        <v>668335.31999999995</v>
      </c>
      <c r="MC9">
        <v>3004185.6</v>
      </c>
      <c r="MD9">
        <v>2272859.4300000002</v>
      </c>
      <c r="ME9">
        <v>450000</v>
      </c>
      <c r="MF9">
        <v>304838.7</v>
      </c>
      <c r="MG9">
        <v>450000</v>
      </c>
      <c r="MH9">
        <v>450000</v>
      </c>
      <c r="MI9">
        <v>840000</v>
      </c>
      <c r="MJ9">
        <v>534000</v>
      </c>
      <c r="MK9">
        <v>1500000</v>
      </c>
      <c r="ML9">
        <v>1034482.74</v>
      </c>
      <c r="MM9">
        <v>7741.95</v>
      </c>
      <c r="MN9">
        <v>0</v>
      </c>
      <c r="MO9">
        <v>30000</v>
      </c>
      <c r="MP9">
        <v>18870.990000000002</v>
      </c>
      <c r="MQ9">
        <v>4210084.2300000004</v>
      </c>
      <c r="MR9">
        <v>2368558.9500000002</v>
      </c>
      <c r="MS9">
        <v>3998687.46</v>
      </c>
      <c r="MT9">
        <v>3525776.88</v>
      </c>
      <c r="MU9">
        <v>10430.01</v>
      </c>
      <c r="MV9">
        <v>145.19999999999999</v>
      </c>
      <c r="MW9">
        <v>13793.67</v>
      </c>
      <c r="MX9">
        <v>7331.34</v>
      </c>
      <c r="MY9">
        <v>50003.88</v>
      </c>
      <c r="MZ9">
        <v>20385.72</v>
      </c>
      <c r="NA9">
        <v>138831.63</v>
      </c>
      <c r="NB9">
        <v>91778.73</v>
      </c>
      <c r="NC9">
        <v>438329.22</v>
      </c>
      <c r="ND9">
        <v>24650.01</v>
      </c>
      <c r="NE9">
        <v>681462.9</v>
      </c>
      <c r="NF9">
        <v>397884.3</v>
      </c>
      <c r="NG9">
        <v>22034738.760000002</v>
      </c>
      <c r="NH9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2B3-40A0-4675-B96B-40D64E86AEC3}">
  <dimension ref="A1:BW27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28" activeCellId="1" sqref="R16 E28"/>
    </sheetView>
  </sheetViews>
  <sheetFormatPr defaultRowHeight="16.5" x14ac:dyDescent="0.3"/>
  <cols>
    <col min="1" max="1" width="16.25" style="3" customWidth="1"/>
    <col min="2" max="2" width="12.75" bestFit="1" customWidth="1"/>
    <col min="3" max="3" width="20.125" bestFit="1" customWidth="1"/>
    <col min="4" max="9" width="12.75" bestFit="1" customWidth="1"/>
    <col min="10" max="10" width="10.625" style="5" bestFit="1" customWidth="1"/>
    <col min="11" max="15" width="12.75" bestFit="1" customWidth="1"/>
    <col min="16" max="16" width="12.625" bestFit="1" customWidth="1"/>
    <col min="17" max="17" width="10.625" bestFit="1" customWidth="1"/>
    <col min="18" max="22" width="12.75" bestFit="1" customWidth="1"/>
    <col min="23" max="24" width="17.125" bestFit="1" customWidth="1"/>
    <col min="25" max="25" width="18.125" bestFit="1" customWidth="1"/>
    <col min="26" max="33" width="12.75" bestFit="1" customWidth="1"/>
    <col min="34" max="35" width="11.375" bestFit="1" customWidth="1"/>
    <col min="36" max="43" width="12.75" bestFit="1" customWidth="1"/>
    <col min="44" max="44" width="11.375" bestFit="1" customWidth="1"/>
    <col min="45" max="46" width="12.75" bestFit="1" customWidth="1"/>
    <col min="47" max="47" width="11.375" bestFit="1" customWidth="1"/>
    <col min="48" max="48" width="12.75" bestFit="1" customWidth="1"/>
    <col min="49" max="50" width="26" bestFit="1" customWidth="1"/>
    <col min="51" max="53" width="25.375" bestFit="1" customWidth="1"/>
    <col min="54" max="54" width="27.5" bestFit="1" customWidth="1"/>
    <col min="55" max="57" width="26.375" bestFit="1" customWidth="1"/>
    <col min="58" max="58" width="27.625" bestFit="1" customWidth="1"/>
    <col min="59" max="59" width="29" bestFit="1" customWidth="1"/>
    <col min="60" max="60" width="27.625" bestFit="1" customWidth="1"/>
    <col min="61" max="61" width="29" bestFit="1" customWidth="1"/>
    <col min="62" max="62" width="25.5" bestFit="1" customWidth="1"/>
    <col min="63" max="65" width="26.125" bestFit="1" customWidth="1"/>
    <col min="66" max="66" width="28.125" bestFit="1" customWidth="1"/>
    <col min="67" max="69" width="27" bestFit="1" customWidth="1"/>
    <col min="70" max="70" width="28.25" bestFit="1" customWidth="1"/>
    <col min="71" max="71" width="29.625" bestFit="1" customWidth="1"/>
    <col min="72" max="72" width="28.25" bestFit="1" customWidth="1"/>
    <col min="73" max="73" width="29.625" bestFit="1" customWidth="1"/>
    <col min="74" max="74" width="26.25" bestFit="1" customWidth="1"/>
    <col min="75" max="75" width="22.75" bestFit="1" customWidth="1"/>
  </cols>
  <sheetData>
    <row r="1" spans="1:75" x14ac:dyDescent="0.3"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s="5" t="s">
        <v>387</v>
      </c>
      <c r="K1" t="s">
        <v>156</v>
      </c>
      <c r="L1" t="s">
        <v>157</v>
      </c>
      <c r="M1" t="s">
        <v>158</v>
      </c>
      <c r="N1" t="s">
        <v>379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191</v>
      </c>
      <c r="AU1" t="s">
        <v>192</v>
      </c>
      <c r="AV1" t="s">
        <v>193</v>
      </c>
      <c r="AW1" t="s">
        <v>194</v>
      </c>
      <c r="AX1" t="s">
        <v>195</v>
      </c>
      <c r="AY1" t="s">
        <v>196</v>
      </c>
      <c r="AZ1" t="s">
        <v>197</v>
      </c>
      <c r="BA1" t="s">
        <v>198</v>
      </c>
      <c r="BB1" t="s">
        <v>199</v>
      </c>
      <c r="BC1" t="s">
        <v>200</v>
      </c>
      <c r="BD1" t="s">
        <v>201</v>
      </c>
      <c r="BE1" t="s">
        <v>202</v>
      </c>
      <c r="BF1" t="s">
        <v>203</v>
      </c>
      <c r="BG1" t="s">
        <v>204</v>
      </c>
      <c r="BH1" t="s">
        <v>205</v>
      </c>
      <c r="BI1" t="s">
        <v>206</v>
      </c>
      <c r="BJ1" t="s">
        <v>207</v>
      </c>
      <c r="BK1" t="s">
        <v>208</v>
      </c>
      <c r="BL1" t="s">
        <v>209</v>
      </c>
      <c r="BM1" t="s">
        <v>210</v>
      </c>
      <c r="BN1" t="s">
        <v>211</v>
      </c>
      <c r="BO1" t="s">
        <v>212</v>
      </c>
      <c r="BP1" t="s">
        <v>213</v>
      </c>
      <c r="BQ1" t="s">
        <v>214</v>
      </c>
      <c r="BR1" t="s">
        <v>215</v>
      </c>
      <c r="BS1" t="s">
        <v>216</v>
      </c>
      <c r="BT1" t="s">
        <v>217</v>
      </c>
      <c r="BU1" t="s">
        <v>218</v>
      </c>
      <c r="BV1" t="s">
        <v>219</v>
      </c>
      <c r="BW1" t="s">
        <v>220</v>
      </c>
    </row>
    <row r="2" spans="1:75" x14ac:dyDescent="0.3">
      <c r="A2" s="3" t="s">
        <v>370</v>
      </c>
      <c r="B2">
        <v>76020</v>
      </c>
      <c r="C2">
        <v>76020</v>
      </c>
      <c r="D2">
        <v>76020</v>
      </c>
      <c r="E2">
        <v>76020</v>
      </c>
      <c r="F2">
        <v>76020</v>
      </c>
      <c r="G2">
        <v>76020</v>
      </c>
      <c r="H2">
        <v>76020</v>
      </c>
      <c r="I2">
        <v>76020</v>
      </c>
      <c r="J2" s="5">
        <v>76020</v>
      </c>
      <c r="K2">
        <v>76020</v>
      </c>
      <c r="L2">
        <v>76020</v>
      </c>
      <c r="M2">
        <v>76020</v>
      </c>
      <c r="N2">
        <v>76020</v>
      </c>
      <c r="O2">
        <v>76020</v>
      </c>
      <c r="P2">
        <v>76020</v>
      </c>
      <c r="Q2">
        <v>76020</v>
      </c>
      <c r="R2">
        <v>76020</v>
      </c>
      <c r="S2">
        <v>76020</v>
      </c>
      <c r="T2">
        <v>76020</v>
      </c>
      <c r="U2">
        <v>76020</v>
      </c>
      <c r="V2">
        <v>76020</v>
      </c>
      <c r="W2">
        <v>76020</v>
      </c>
      <c r="X2">
        <v>76020</v>
      </c>
      <c r="Y2">
        <v>76020</v>
      </c>
      <c r="Z2">
        <v>76020</v>
      </c>
      <c r="AA2">
        <v>76020</v>
      </c>
      <c r="AB2">
        <v>76020</v>
      </c>
      <c r="AC2">
        <v>76020</v>
      </c>
      <c r="AD2">
        <v>76020</v>
      </c>
      <c r="AE2">
        <v>76020</v>
      </c>
      <c r="AF2">
        <v>76020</v>
      </c>
      <c r="AG2">
        <v>76020</v>
      </c>
      <c r="AH2">
        <v>76020</v>
      </c>
      <c r="AI2">
        <v>76020</v>
      </c>
      <c r="AJ2">
        <v>76020</v>
      </c>
      <c r="AK2">
        <v>76020</v>
      </c>
      <c r="AL2">
        <v>76020</v>
      </c>
      <c r="AM2">
        <v>76020</v>
      </c>
      <c r="AN2">
        <v>76020</v>
      </c>
      <c r="AO2">
        <v>76020</v>
      </c>
      <c r="AP2">
        <v>76020</v>
      </c>
      <c r="AQ2">
        <v>76020</v>
      </c>
      <c r="AR2">
        <v>76020</v>
      </c>
      <c r="AS2">
        <v>76020</v>
      </c>
      <c r="AT2">
        <v>76020</v>
      </c>
      <c r="AU2">
        <v>76020</v>
      </c>
      <c r="AV2">
        <v>76020</v>
      </c>
      <c r="AW2">
        <v>76020</v>
      </c>
      <c r="AX2">
        <v>76020</v>
      </c>
      <c r="AY2">
        <v>76020</v>
      </c>
      <c r="AZ2">
        <v>76020</v>
      </c>
      <c r="BA2">
        <v>76020</v>
      </c>
      <c r="BB2">
        <v>76020</v>
      </c>
      <c r="BC2">
        <v>76020</v>
      </c>
      <c r="BD2">
        <v>76020</v>
      </c>
      <c r="BE2">
        <v>76020</v>
      </c>
      <c r="BF2">
        <v>76020</v>
      </c>
      <c r="BG2">
        <v>76020</v>
      </c>
      <c r="BH2">
        <v>76020</v>
      </c>
      <c r="BI2">
        <v>76020</v>
      </c>
      <c r="BJ2">
        <v>76020</v>
      </c>
      <c r="BK2">
        <v>76020</v>
      </c>
      <c r="BL2">
        <v>76020</v>
      </c>
      <c r="BM2">
        <v>76020</v>
      </c>
      <c r="BN2">
        <v>76020</v>
      </c>
      <c r="BO2">
        <v>76020</v>
      </c>
      <c r="BP2">
        <v>76020</v>
      </c>
      <c r="BQ2">
        <v>76020</v>
      </c>
      <c r="BR2">
        <v>76020</v>
      </c>
      <c r="BS2">
        <v>76020</v>
      </c>
      <c r="BT2">
        <v>76020</v>
      </c>
      <c r="BU2">
        <v>76020</v>
      </c>
      <c r="BV2">
        <v>76020</v>
      </c>
      <c r="BW2">
        <v>76020</v>
      </c>
    </row>
    <row r="3" spans="1:75" x14ac:dyDescent="0.3">
      <c r="A3" s="3" t="s">
        <v>371</v>
      </c>
      <c r="B3">
        <v>3.299368587</v>
      </c>
      <c r="C3">
        <v>0.26353591199999998</v>
      </c>
      <c r="D3">
        <v>0.41878452999999999</v>
      </c>
      <c r="E3">
        <v>0.41878452999999999</v>
      </c>
      <c r="F3">
        <v>2.7249408050000001</v>
      </c>
      <c r="G3">
        <v>3.4293606999999997E-2</v>
      </c>
      <c r="H3">
        <v>1.1168114E-2</v>
      </c>
      <c r="I3">
        <v>2.699250197</v>
      </c>
      <c r="J3" s="5">
        <v>0</v>
      </c>
      <c r="K3">
        <v>1.1168114E-2</v>
      </c>
      <c r="L3">
        <v>3.2041436459999999</v>
      </c>
      <c r="M3">
        <v>2.2179952639999998</v>
      </c>
      <c r="N3">
        <v>5.6827149999999996E-3</v>
      </c>
      <c r="O3">
        <v>5.090766E-3</v>
      </c>
      <c r="P3">
        <v>0</v>
      </c>
      <c r="Q3">
        <v>0</v>
      </c>
      <c r="R3">
        <v>48.449106950000001</v>
      </c>
      <c r="S3">
        <v>1028.468235</v>
      </c>
      <c r="T3">
        <v>0.41447513800000002</v>
      </c>
      <c r="U3">
        <v>141.2267841</v>
      </c>
      <c r="V3">
        <v>6021.6159010000001</v>
      </c>
      <c r="W3">
        <v>4993.7529699999996</v>
      </c>
      <c r="X3">
        <v>1493.68227</v>
      </c>
      <c r="Y3">
        <v>0.51302288900000004</v>
      </c>
      <c r="Z3">
        <v>6487.9482630000002</v>
      </c>
      <c r="AA3">
        <v>69.096200469999999</v>
      </c>
      <c r="AB3">
        <v>183.40589660000001</v>
      </c>
      <c r="AC3">
        <v>43.409629039999999</v>
      </c>
      <c r="AD3">
        <v>27.399455799999998</v>
      </c>
      <c r="AE3">
        <v>5925.1202450000001</v>
      </c>
      <c r="AF3">
        <v>76.081633389999993</v>
      </c>
      <c r="AG3">
        <v>72.735692580000006</v>
      </c>
      <c r="AH3">
        <v>0</v>
      </c>
      <c r="AI3">
        <v>0</v>
      </c>
      <c r="AJ3">
        <v>0.41447513800000002</v>
      </c>
      <c r="AK3">
        <v>13679.67366</v>
      </c>
      <c r="AL3">
        <v>292.29096720000001</v>
      </c>
      <c r="AM3">
        <v>3.3459408050000001</v>
      </c>
      <c r="AN3">
        <v>12.53233268</v>
      </c>
      <c r="AO3">
        <v>0.67087608499999996</v>
      </c>
      <c r="AP3">
        <v>36.907193759999998</v>
      </c>
      <c r="AQ3">
        <v>4.3686018149999999</v>
      </c>
      <c r="AR3">
        <v>0</v>
      </c>
      <c r="AS3">
        <v>7191.7253950000004</v>
      </c>
      <c r="AT3">
        <v>96.352737959999999</v>
      </c>
      <c r="AU3">
        <v>0</v>
      </c>
      <c r="AV3">
        <v>40.449079189999999</v>
      </c>
      <c r="AW3">
        <v>263088.66090000002</v>
      </c>
      <c r="AX3">
        <v>263088.66090000002</v>
      </c>
      <c r="AY3">
        <v>48671402.240000002</v>
      </c>
      <c r="AZ3">
        <v>5130228.8859999999</v>
      </c>
      <c r="BA3">
        <v>131544.33009999999</v>
      </c>
      <c r="BB3">
        <v>9208103.1300000008</v>
      </c>
      <c r="BC3">
        <v>4998684.5559999999</v>
      </c>
      <c r="BD3">
        <v>2630886.6090000002</v>
      </c>
      <c r="BE3">
        <v>131544.33040000001</v>
      </c>
      <c r="BF3">
        <v>526177.32169999997</v>
      </c>
      <c r="BG3">
        <v>526177.32169999997</v>
      </c>
      <c r="BH3">
        <v>657721.65209999995</v>
      </c>
      <c r="BI3">
        <v>131544.33040000001</v>
      </c>
      <c r="BJ3">
        <v>5524861.8779999996</v>
      </c>
      <c r="BK3">
        <v>48671402.240000002</v>
      </c>
      <c r="BL3">
        <v>5130228.8859999999</v>
      </c>
      <c r="BM3">
        <v>131544.3302</v>
      </c>
      <c r="BN3">
        <v>9208103.1300000008</v>
      </c>
      <c r="BO3">
        <v>4998684.5559999999</v>
      </c>
      <c r="BP3">
        <v>2630886.6090000002</v>
      </c>
      <c r="BQ3">
        <v>131544.33040000001</v>
      </c>
      <c r="BR3">
        <v>526177.32169999997</v>
      </c>
      <c r="BS3">
        <v>526177.32169999997</v>
      </c>
      <c r="BT3">
        <v>657721.65209999995</v>
      </c>
      <c r="BU3">
        <v>131544.33040000001</v>
      </c>
      <c r="BV3">
        <v>5524861.8779999996</v>
      </c>
      <c r="BW3">
        <v>0</v>
      </c>
    </row>
    <row r="4" spans="1:75" x14ac:dyDescent="0.3">
      <c r="A4" s="3" t="s">
        <v>372</v>
      </c>
      <c r="B4">
        <v>2.8682166269999998</v>
      </c>
      <c r="C4">
        <v>1.6502734100000001</v>
      </c>
      <c r="D4">
        <v>2.2411408750000001</v>
      </c>
      <c r="E4">
        <v>2.2411408750000001</v>
      </c>
      <c r="F4">
        <v>1.1391586010000001</v>
      </c>
      <c r="G4">
        <v>0.31928496699999998</v>
      </c>
      <c r="H4">
        <v>0.18270208900000001</v>
      </c>
      <c r="I4">
        <v>1.105296729</v>
      </c>
      <c r="J4" s="5">
        <v>0</v>
      </c>
      <c r="K4">
        <v>0.18270208900000001</v>
      </c>
      <c r="L4">
        <v>0.94412280900000001</v>
      </c>
      <c r="M4">
        <v>1.497703344</v>
      </c>
      <c r="N4">
        <v>0.13135013800000001</v>
      </c>
      <c r="O4">
        <v>0.12347704800000001</v>
      </c>
      <c r="P4">
        <v>0</v>
      </c>
      <c r="Q4">
        <v>0</v>
      </c>
      <c r="R4">
        <v>10937.473019999999</v>
      </c>
      <c r="S4">
        <v>9852.1400730000005</v>
      </c>
      <c r="T4">
        <v>83.096796990000001</v>
      </c>
      <c r="U4">
        <v>2515.6563019999999</v>
      </c>
      <c r="V4">
        <v>48144.713969999997</v>
      </c>
      <c r="W4">
        <v>32619.134249999999</v>
      </c>
      <c r="X4">
        <v>20016.489150000001</v>
      </c>
      <c r="Y4">
        <v>113.5975588</v>
      </c>
      <c r="Z4">
        <v>38416.753969999998</v>
      </c>
      <c r="AA4">
        <v>2839.6189639999998</v>
      </c>
      <c r="AB4">
        <v>22698.129959999998</v>
      </c>
      <c r="AC4">
        <v>10934.96616</v>
      </c>
      <c r="AD4">
        <v>2477.8107439999999</v>
      </c>
      <c r="AE4">
        <v>48008.529340000001</v>
      </c>
      <c r="AF4">
        <v>739.77662599999996</v>
      </c>
      <c r="AG4">
        <v>726.88266880000003</v>
      </c>
      <c r="AH4">
        <v>0</v>
      </c>
      <c r="AI4">
        <v>0</v>
      </c>
      <c r="AJ4">
        <v>83.096796990000001</v>
      </c>
      <c r="AK4">
        <v>63014.078139999998</v>
      </c>
      <c r="AL4">
        <v>23316.398819999999</v>
      </c>
      <c r="AM4">
        <v>126.68015250000001</v>
      </c>
      <c r="AN4">
        <v>797.8395567</v>
      </c>
      <c r="AO4">
        <v>141.4485976</v>
      </c>
      <c r="AP4">
        <v>472.09886289999997</v>
      </c>
      <c r="AQ4">
        <v>113.9687563</v>
      </c>
      <c r="AR4">
        <v>0</v>
      </c>
      <c r="AS4">
        <v>49145.313880000002</v>
      </c>
      <c r="AT4">
        <v>5218.4283649999998</v>
      </c>
      <c r="AU4">
        <v>0</v>
      </c>
      <c r="AV4">
        <v>47.362719149999997</v>
      </c>
      <c r="AW4">
        <v>51291831.710000001</v>
      </c>
      <c r="AX4">
        <v>51291831.710000001</v>
      </c>
      <c r="AY4">
        <v>695953654</v>
      </c>
      <c r="AZ4">
        <v>226443467.80000001</v>
      </c>
      <c r="BA4">
        <v>36269040.57</v>
      </c>
      <c r="BB4">
        <v>303310818</v>
      </c>
      <c r="BC4">
        <v>223522965.09999999</v>
      </c>
      <c r="BD4">
        <v>162179809.19999999</v>
      </c>
      <c r="BE4">
        <v>36269040.57</v>
      </c>
      <c r="BF4">
        <v>72536649.819999993</v>
      </c>
      <c r="BG4">
        <v>72536649.819999993</v>
      </c>
      <c r="BH4">
        <v>81097906.5</v>
      </c>
      <c r="BI4">
        <v>36269040.57</v>
      </c>
      <c r="BJ4">
        <v>234986852.90000001</v>
      </c>
      <c r="BK4">
        <v>695953654</v>
      </c>
      <c r="BL4">
        <v>226443467.80000001</v>
      </c>
      <c r="BM4">
        <v>36269040.57</v>
      </c>
      <c r="BN4">
        <v>303310818</v>
      </c>
      <c r="BO4">
        <v>223522965.09999999</v>
      </c>
      <c r="BP4">
        <v>162179809.19999999</v>
      </c>
      <c r="BQ4">
        <v>36269040.57</v>
      </c>
      <c r="BR4">
        <v>72536649.819999993</v>
      </c>
      <c r="BS4">
        <v>72536649.819999993</v>
      </c>
      <c r="BT4">
        <v>81097906.5</v>
      </c>
      <c r="BU4">
        <v>36269040.57</v>
      </c>
      <c r="BV4">
        <v>234986852.90000001</v>
      </c>
      <c r="BW4">
        <v>0</v>
      </c>
    </row>
    <row r="5" spans="1:75" x14ac:dyDescent="0.3">
      <c r="A5" s="3" t="s">
        <v>373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-0.9</v>
      </c>
      <c r="S5">
        <v>-2895.72</v>
      </c>
      <c r="T5">
        <v>0</v>
      </c>
      <c r="U5">
        <v>-4942.26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-4942.26</v>
      </c>
      <c r="AL5">
        <v>0</v>
      </c>
      <c r="AM5">
        <v>0</v>
      </c>
      <c r="AN5">
        <v>0</v>
      </c>
      <c r="AO5">
        <v>0</v>
      </c>
      <c r="AP5">
        <v>0</v>
      </c>
      <c r="AQ5">
        <v>-0.9</v>
      </c>
      <c r="AR5">
        <v>0</v>
      </c>
      <c r="AS5">
        <v>-4942.26</v>
      </c>
      <c r="AT5">
        <v>0</v>
      </c>
      <c r="AU5">
        <v>0</v>
      </c>
      <c r="AV5">
        <v>0</v>
      </c>
      <c r="AW5">
        <v>0</v>
      </c>
      <c r="AX5">
        <v>0</v>
      </c>
      <c r="AY5">
        <v>-1</v>
      </c>
      <c r="AZ5">
        <v>-1</v>
      </c>
      <c r="BA5">
        <v>-1</v>
      </c>
      <c r="BB5">
        <v>-1</v>
      </c>
      <c r="BC5">
        <v>0</v>
      </c>
      <c r="BD5">
        <v>-1</v>
      </c>
      <c r="BE5">
        <v>0</v>
      </c>
      <c r="BF5">
        <v>-1</v>
      </c>
      <c r="BG5">
        <v>0</v>
      </c>
      <c r="BH5">
        <v>-1</v>
      </c>
      <c r="BI5">
        <v>0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0</v>
      </c>
      <c r="BP5">
        <v>-1</v>
      </c>
      <c r="BQ5">
        <v>0</v>
      </c>
      <c r="BR5">
        <v>-1</v>
      </c>
      <c r="BS5">
        <v>0</v>
      </c>
      <c r="BT5">
        <v>-1</v>
      </c>
      <c r="BU5">
        <v>0</v>
      </c>
      <c r="BV5">
        <v>-1</v>
      </c>
      <c r="BW5">
        <v>0</v>
      </c>
    </row>
    <row r="6" spans="1:75" x14ac:dyDescent="0.3">
      <c r="A6" s="4">
        <v>0.25</v>
      </c>
      <c r="B6">
        <v>0</v>
      </c>
      <c r="C6">
        <v>0</v>
      </c>
      <c r="D6">
        <v>0</v>
      </c>
      <c r="E6">
        <v>0</v>
      </c>
      <c r="F6">
        <v>3</v>
      </c>
      <c r="G6">
        <v>0</v>
      </c>
      <c r="H6">
        <v>0</v>
      </c>
      <c r="I6">
        <v>3</v>
      </c>
      <c r="J6" s="5">
        <v>0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x14ac:dyDescent="0.3">
      <c r="A7" s="4">
        <v>0.5</v>
      </c>
      <c r="B7">
        <v>3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3</v>
      </c>
      <c r="J7" s="5">
        <v>0</v>
      </c>
      <c r="K7">
        <v>0</v>
      </c>
      <c r="L7">
        <v>3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</v>
      </c>
      <c r="AT7">
        <v>0</v>
      </c>
      <c r="AU7">
        <v>0</v>
      </c>
      <c r="AV7">
        <v>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3">
      <c r="A8" s="4">
        <v>0.75</v>
      </c>
      <c r="B8">
        <v>3</v>
      </c>
      <c r="C8">
        <v>0</v>
      </c>
      <c r="D8">
        <v>0</v>
      </c>
      <c r="E8">
        <v>0</v>
      </c>
      <c r="F8">
        <v>3</v>
      </c>
      <c r="G8">
        <v>0</v>
      </c>
      <c r="H8">
        <v>0</v>
      </c>
      <c r="I8">
        <v>3</v>
      </c>
      <c r="J8" s="5">
        <v>0</v>
      </c>
      <c r="K8">
        <v>0</v>
      </c>
      <c r="L8">
        <v>3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90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235.995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120</v>
      </c>
      <c r="AT8">
        <v>0</v>
      </c>
      <c r="AU8">
        <v>0</v>
      </c>
      <c r="AV8">
        <v>99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3">
      <c r="A9" s="3" t="s">
        <v>374</v>
      </c>
      <c r="B9">
        <v>36</v>
      </c>
      <c r="C9">
        <v>105</v>
      </c>
      <c r="D9">
        <v>114</v>
      </c>
      <c r="E9">
        <v>114</v>
      </c>
      <c r="F9">
        <v>33</v>
      </c>
      <c r="G9">
        <v>6</v>
      </c>
      <c r="H9">
        <v>3</v>
      </c>
      <c r="I9">
        <v>33</v>
      </c>
      <c r="J9" s="5">
        <v>0</v>
      </c>
      <c r="K9">
        <v>3</v>
      </c>
      <c r="L9">
        <v>114</v>
      </c>
      <c r="M9">
        <v>18</v>
      </c>
      <c r="N9">
        <v>6</v>
      </c>
      <c r="O9">
        <v>3</v>
      </c>
      <c r="P9">
        <v>0</v>
      </c>
      <c r="Q9">
        <v>0</v>
      </c>
      <c r="R9">
        <v>3000000</v>
      </c>
      <c r="S9">
        <v>619329.15</v>
      </c>
      <c r="T9">
        <v>19531.8</v>
      </c>
      <c r="U9">
        <v>240045</v>
      </c>
      <c r="V9">
        <v>3008077.32</v>
      </c>
      <c r="W9">
        <v>450000</v>
      </c>
      <c r="X9">
        <v>1500000</v>
      </c>
      <c r="Y9">
        <v>30000</v>
      </c>
      <c r="Z9">
        <v>1500000</v>
      </c>
      <c r="AA9">
        <v>450000</v>
      </c>
      <c r="AB9">
        <v>6119500.1399999997</v>
      </c>
      <c r="AC9">
        <v>3000000</v>
      </c>
      <c r="AD9">
        <v>455858.16</v>
      </c>
      <c r="AE9">
        <v>3008077.32</v>
      </c>
      <c r="AF9">
        <v>69756.72</v>
      </c>
      <c r="AG9">
        <v>69756.72</v>
      </c>
      <c r="AH9">
        <v>0</v>
      </c>
      <c r="AI9">
        <v>0</v>
      </c>
      <c r="AJ9">
        <v>19531.8</v>
      </c>
      <c r="AK9">
        <v>3458077.32</v>
      </c>
      <c r="AL9">
        <v>6119500.1399999997</v>
      </c>
      <c r="AM9">
        <v>12210.78</v>
      </c>
      <c r="AN9">
        <v>142078.79999999999</v>
      </c>
      <c r="AO9">
        <v>36000</v>
      </c>
      <c r="AP9">
        <v>60000</v>
      </c>
      <c r="AQ9">
        <v>8192.61</v>
      </c>
      <c r="AR9">
        <v>0</v>
      </c>
      <c r="AS9">
        <v>3008077.32</v>
      </c>
      <c r="AT9">
        <v>740006.61</v>
      </c>
      <c r="AU9">
        <v>0</v>
      </c>
      <c r="AV9">
        <v>99</v>
      </c>
      <c r="AW9">
        <v>9999999999</v>
      </c>
      <c r="AX9">
        <v>9999999999</v>
      </c>
      <c r="AY9">
        <v>9999999999</v>
      </c>
      <c r="AZ9">
        <v>9999999999</v>
      </c>
      <c r="BA9">
        <v>9999999999</v>
      </c>
      <c r="BB9">
        <v>9999999999</v>
      </c>
      <c r="BC9">
        <v>9999999999</v>
      </c>
      <c r="BD9">
        <v>9999999999</v>
      </c>
      <c r="BE9">
        <v>9999999999</v>
      </c>
      <c r="BF9">
        <v>9999999999</v>
      </c>
      <c r="BG9">
        <v>9999999999</v>
      </c>
      <c r="BH9">
        <v>9999999999</v>
      </c>
      <c r="BI9">
        <v>9999999999</v>
      </c>
      <c r="BJ9">
        <v>9999999999</v>
      </c>
      <c r="BK9">
        <v>9999999999</v>
      </c>
      <c r="BL9">
        <v>9999999999</v>
      </c>
      <c r="BM9">
        <v>9999999999</v>
      </c>
      <c r="BN9">
        <v>9999999999</v>
      </c>
      <c r="BO9">
        <v>9999999999</v>
      </c>
      <c r="BP9">
        <v>9999999999</v>
      </c>
      <c r="BQ9">
        <v>9999999999</v>
      </c>
      <c r="BR9">
        <v>9999999999</v>
      </c>
      <c r="BS9">
        <v>9999999999</v>
      </c>
      <c r="BT9">
        <v>9999999999</v>
      </c>
      <c r="BU9">
        <v>9999999999</v>
      </c>
      <c r="BV9">
        <v>9999999999</v>
      </c>
      <c r="BW9">
        <v>0</v>
      </c>
    </row>
    <row r="10" spans="1:75" hidden="1" x14ac:dyDescent="0.3"/>
    <row r="11" spans="1:75" hidden="1" x14ac:dyDescent="0.3"/>
    <row r="12" spans="1:75" hidden="1" x14ac:dyDescent="0.3">
      <c r="A12" s="3" t="s">
        <v>376</v>
      </c>
      <c r="B12">
        <f>B8-B6</f>
        <v>3</v>
      </c>
      <c r="C12">
        <f t="shared" ref="C12:BN12" si="0">C8-C6</f>
        <v>0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 s="5">
        <f t="shared" si="0"/>
        <v>0</v>
      </c>
      <c r="K12">
        <f t="shared" si="0"/>
        <v>0</v>
      </c>
      <c r="L12">
        <f t="shared" si="0"/>
        <v>0</v>
      </c>
      <c r="M12">
        <f t="shared" si="0"/>
        <v>3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90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0</v>
      </c>
      <c r="AF12">
        <f t="shared" si="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0"/>
        <v>0</v>
      </c>
      <c r="AK12">
        <f t="shared" si="0"/>
        <v>235.995</v>
      </c>
      <c r="AL12">
        <f t="shared" si="0"/>
        <v>0</v>
      </c>
      <c r="AM12">
        <f t="shared" si="0"/>
        <v>0</v>
      </c>
      <c r="AN12">
        <f t="shared" si="0"/>
        <v>0</v>
      </c>
      <c r="AO12">
        <f t="shared" si="0"/>
        <v>0</v>
      </c>
      <c r="AP12">
        <f t="shared" si="0"/>
        <v>0</v>
      </c>
      <c r="AQ12">
        <f t="shared" si="0"/>
        <v>0</v>
      </c>
      <c r="AR12">
        <f t="shared" si="0"/>
        <v>0</v>
      </c>
      <c r="AS12">
        <f t="shared" si="0"/>
        <v>120</v>
      </c>
      <c r="AT12">
        <f t="shared" si="0"/>
        <v>0</v>
      </c>
      <c r="AU12">
        <f t="shared" si="0"/>
        <v>0</v>
      </c>
      <c r="AV12">
        <f t="shared" si="0"/>
        <v>97</v>
      </c>
      <c r="AW12">
        <f t="shared" si="0"/>
        <v>0</v>
      </c>
      <c r="AX12">
        <f t="shared" si="0"/>
        <v>0</v>
      </c>
      <c r="AY12">
        <f t="shared" si="0"/>
        <v>0</v>
      </c>
      <c r="AZ12">
        <f t="shared" si="0"/>
        <v>0</v>
      </c>
      <c r="BA12">
        <f t="shared" si="0"/>
        <v>0</v>
      </c>
      <c r="BB12">
        <f t="shared" si="0"/>
        <v>0</v>
      </c>
      <c r="BC12">
        <f t="shared" si="0"/>
        <v>0</v>
      </c>
      <c r="BD12">
        <f t="shared" si="0"/>
        <v>0</v>
      </c>
      <c r="BE12">
        <f t="shared" si="0"/>
        <v>0</v>
      </c>
      <c r="BF12">
        <f t="shared" si="0"/>
        <v>0</v>
      </c>
      <c r="BG12">
        <f t="shared" si="0"/>
        <v>0</v>
      </c>
      <c r="BH12">
        <f t="shared" si="0"/>
        <v>0</v>
      </c>
      <c r="BI12">
        <f t="shared" si="0"/>
        <v>0</v>
      </c>
      <c r="BJ12">
        <f t="shared" si="0"/>
        <v>0</v>
      </c>
      <c r="BK12">
        <f t="shared" si="0"/>
        <v>0</v>
      </c>
      <c r="BL12">
        <f t="shared" si="0"/>
        <v>0</v>
      </c>
      <c r="BM12">
        <f t="shared" si="0"/>
        <v>0</v>
      </c>
      <c r="BN12">
        <f t="shared" si="0"/>
        <v>0</v>
      </c>
      <c r="BO12">
        <f t="shared" ref="BO12:BW12" si="1">BO8-BO6</f>
        <v>0</v>
      </c>
      <c r="BP12">
        <f t="shared" si="1"/>
        <v>0</v>
      </c>
      <c r="BQ12">
        <f t="shared" si="1"/>
        <v>0</v>
      </c>
      <c r="BR12">
        <f t="shared" si="1"/>
        <v>0</v>
      </c>
      <c r="BS12">
        <f t="shared" si="1"/>
        <v>0</v>
      </c>
      <c r="BT12">
        <f t="shared" si="1"/>
        <v>0</v>
      </c>
      <c r="BU12">
        <f t="shared" si="1"/>
        <v>0</v>
      </c>
      <c r="BV12">
        <f t="shared" si="1"/>
        <v>0</v>
      </c>
      <c r="BW12">
        <f t="shared" si="1"/>
        <v>0</v>
      </c>
    </row>
    <row r="13" spans="1:75" hidden="1" x14ac:dyDescent="0.3">
      <c r="A13" s="3" t="s">
        <v>377</v>
      </c>
      <c r="B13">
        <f>B6-(1.5*B12)</f>
        <v>-4.5</v>
      </c>
      <c r="C13">
        <f t="shared" ref="C13:BN13" si="2">C6-(1.5*C12)</f>
        <v>0</v>
      </c>
      <c r="D13">
        <f t="shared" si="2"/>
        <v>0</v>
      </c>
      <c r="E13">
        <f t="shared" si="2"/>
        <v>0</v>
      </c>
      <c r="F13">
        <f t="shared" si="2"/>
        <v>3</v>
      </c>
      <c r="G13">
        <f t="shared" si="2"/>
        <v>0</v>
      </c>
      <c r="H13">
        <f t="shared" si="2"/>
        <v>0</v>
      </c>
      <c r="I13">
        <f t="shared" si="2"/>
        <v>3</v>
      </c>
      <c r="J13" s="5">
        <f t="shared" si="2"/>
        <v>0</v>
      </c>
      <c r="K13">
        <f t="shared" si="2"/>
        <v>0</v>
      </c>
      <c r="L13">
        <f t="shared" si="2"/>
        <v>3</v>
      </c>
      <c r="M13">
        <f t="shared" si="2"/>
        <v>-4.5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-135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0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-353.99250000000001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0</v>
      </c>
      <c r="AR13">
        <f t="shared" si="2"/>
        <v>0</v>
      </c>
      <c r="AS13">
        <f t="shared" si="2"/>
        <v>-180</v>
      </c>
      <c r="AT13">
        <f t="shared" si="2"/>
        <v>0</v>
      </c>
      <c r="AU13">
        <f t="shared" si="2"/>
        <v>0</v>
      </c>
      <c r="AV13">
        <f t="shared" si="2"/>
        <v>-143.5</v>
      </c>
      <c r="AW13">
        <f t="shared" si="2"/>
        <v>0</v>
      </c>
      <c r="AX13">
        <f t="shared" si="2"/>
        <v>0</v>
      </c>
      <c r="AY13">
        <f t="shared" si="2"/>
        <v>0</v>
      </c>
      <c r="AZ13">
        <f t="shared" si="2"/>
        <v>0</v>
      </c>
      <c r="BA13">
        <f t="shared" si="2"/>
        <v>0</v>
      </c>
      <c r="BB13">
        <f t="shared" si="2"/>
        <v>0</v>
      </c>
      <c r="BC13">
        <f t="shared" si="2"/>
        <v>0</v>
      </c>
      <c r="BD13">
        <f t="shared" si="2"/>
        <v>0</v>
      </c>
      <c r="BE13">
        <f t="shared" si="2"/>
        <v>0</v>
      </c>
      <c r="BF13">
        <f t="shared" si="2"/>
        <v>0</v>
      </c>
      <c r="BG13">
        <f t="shared" si="2"/>
        <v>0</v>
      </c>
      <c r="BH13">
        <f t="shared" si="2"/>
        <v>0</v>
      </c>
      <c r="BI13">
        <f t="shared" si="2"/>
        <v>0</v>
      </c>
      <c r="BJ13">
        <f t="shared" si="2"/>
        <v>0</v>
      </c>
      <c r="BK13">
        <f t="shared" si="2"/>
        <v>0</v>
      </c>
      <c r="BL13">
        <f t="shared" si="2"/>
        <v>0</v>
      </c>
      <c r="BM13">
        <f t="shared" si="2"/>
        <v>0</v>
      </c>
      <c r="BN13">
        <f t="shared" si="2"/>
        <v>0</v>
      </c>
      <c r="BO13">
        <f t="shared" ref="BO13:BW13" si="3">BO6-(1.5*BO12)</f>
        <v>0</v>
      </c>
      <c r="BP13">
        <f t="shared" si="3"/>
        <v>0</v>
      </c>
      <c r="BQ13">
        <f t="shared" si="3"/>
        <v>0</v>
      </c>
      <c r="BR13">
        <f t="shared" si="3"/>
        <v>0</v>
      </c>
      <c r="BS13">
        <f t="shared" si="3"/>
        <v>0</v>
      </c>
      <c r="BT13">
        <f t="shared" si="3"/>
        <v>0</v>
      </c>
      <c r="BU13">
        <f t="shared" si="3"/>
        <v>0</v>
      </c>
      <c r="BV13">
        <f t="shared" si="3"/>
        <v>0</v>
      </c>
      <c r="BW13">
        <f t="shared" si="3"/>
        <v>0</v>
      </c>
    </row>
    <row r="14" spans="1:75" hidden="1" x14ac:dyDescent="0.3">
      <c r="A14" s="3" t="s">
        <v>378</v>
      </c>
      <c r="B14">
        <f>B8+(1.5*B12)</f>
        <v>7.5</v>
      </c>
      <c r="C14">
        <f t="shared" ref="C14:BN14" si="4">C8+(1.5*C12)</f>
        <v>0</v>
      </c>
      <c r="D14">
        <f t="shared" si="4"/>
        <v>0</v>
      </c>
      <c r="E14">
        <f t="shared" si="4"/>
        <v>0</v>
      </c>
      <c r="F14">
        <f t="shared" si="4"/>
        <v>3</v>
      </c>
      <c r="G14">
        <f t="shared" si="4"/>
        <v>0</v>
      </c>
      <c r="H14">
        <f t="shared" si="4"/>
        <v>0</v>
      </c>
      <c r="I14">
        <f t="shared" si="4"/>
        <v>3</v>
      </c>
      <c r="J14" s="5">
        <f t="shared" si="4"/>
        <v>0</v>
      </c>
      <c r="K14">
        <f t="shared" si="4"/>
        <v>0</v>
      </c>
      <c r="L14">
        <f t="shared" si="4"/>
        <v>3</v>
      </c>
      <c r="M14">
        <f t="shared" si="4"/>
        <v>7.5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225</v>
      </c>
      <c r="T14">
        <f t="shared" si="4"/>
        <v>0</v>
      </c>
      <c r="U14">
        <f t="shared" si="4"/>
        <v>0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4"/>
        <v>0</v>
      </c>
      <c r="Z14">
        <f t="shared" si="4"/>
        <v>0</v>
      </c>
      <c r="AA14">
        <f t="shared" si="4"/>
        <v>0</v>
      </c>
      <c r="AB14">
        <f t="shared" si="4"/>
        <v>0</v>
      </c>
      <c r="AC14">
        <f t="shared" si="4"/>
        <v>0</v>
      </c>
      <c r="AD14">
        <f t="shared" si="4"/>
        <v>0</v>
      </c>
      <c r="AE14">
        <f t="shared" si="4"/>
        <v>0</v>
      </c>
      <c r="AF14">
        <f t="shared" si="4"/>
        <v>0</v>
      </c>
      <c r="AG14">
        <f t="shared" si="4"/>
        <v>0</v>
      </c>
      <c r="AH14">
        <f t="shared" si="4"/>
        <v>0</v>
      </c>
      <c r="AI14">
        <f t="shared" si="4"/>
        <v>0</v>
      </c>
      <c r="AJ14">
        <f t="shared" si="4"/>
        <v>0</v>
      </c>
      <c r="AK14">
        <f t="shared" si="4"/>
        <v>589.98749999999995</v>
      </c>
      <c r="AL14">
        <f t="shared" si="4"/>
        <v>0</v>
      </c>
      <c r="AM14">
        <f t="shared" si="4"/>
        <v>0</v>
      </c>
      <c r="AN14">
        <f t="shared" si="4"/>
        <v>0</v>
      </c>
      <c r="AO14">
        <f t="shared" si="4"/>
        <v>0</v>
      </c>
      <c r="AP14">
        <f t="shared" si="4"/>
        <v>0</v>
      </c>
      <c r="AQ14">
        <f t="shared" si="4"/>
        <v>0</v>
      </c>
      <c r="AR14">
        <f t="shared" si="4"/>
        <v>0</v>
      </c>
      <c r="AS14">
        <f t="shared" si="4"/>
        <v>300</v>
      </c>
      <c r="AT14">
        <f t="shared" si="4"/>
        <v>0</v>
      </c>
      <c r="AU14">
        <f t="shared" si="4"/>
        <v>0</v>
      </c>
      <c r="AV14">
        <f t="shared" si="4"/>
        <v>244.5</v>
      </c>
      <c r="AW14">
        <f t="shared" si="4"/>
        <v>0</v>
      </c>
      <c r="AX14">
        <f t="shared" si="4"/>
        <v>0</v>
      </c>
      <c r="AY14">
        <f t="shared" si="4"/>
        <v>0</v>
      </c>
      <c r="AZ14">
        <f t="shared" si="4"/>
        <v>0</v>
      </c>
      <c r="BA14">
        <f t="shared" si="4"/>
        <v>0</v>
      </c>
      <c r="BB14">
        <f t="shared" si="4"/>
        <v>0</v>
      </c>
      <c r="BC14">
        <f t="shared" si="4"/>
        <v>0</v>
      </c>
      <c r="BD14">
        <f t="shared" si="4"/>
        <v>0</v>
      </c>
      <c r="BE14">
        <f t="shared" si="4"/>
        <v>0</v>
      </c>
      <c r="BF14">
        <f t="shared" si="4"/>
        <v>0</v>
      </c>
      <c r="BG14">
        <f t="shared" si="4"/>
        <v>0</v>
      </c>
      <c r="BH14">
        <f t="shared" si="4"/>
        <v>0</v>
      </c>
      <c r="BI14">
        <f t="shared" si="4"/>
        <v>0</v>
      </c>
      <c r="BJ14">
        <f t="shared" si="4"/>
        <v>0</v>
      </c>
      <c r="BK14">
        <f t="shared" si="4"/>
        <v>0</v>
      </c>
      <c r="BL14">
        <f t="shared" si="4"/>
        <v>0</v>
      </c>
      <c r="BM14">
        <f t="shared" si="4"/>
        <v>0</v>
      </c>
      <c r="BN14">
        <f t="shared" si="4"/>
        <v>0</v>
      </c>
      <c r="BO14">
        <f t="shared" ref="BO14:BW14" si="5">BO8+(1.5*BO12)</f>
        <v>0</v>
      </c>
      <c r="BP14">
        <f t="shared" si="5"/>
        <v>0</v>
      </c>
      <c r="BQ14">
        <f t="shared" si="5"/>
        <v>0</v>
      </c>
      <c r="BR14">
        <f t="shared" si="5"/>
        <v>0</v>
      </c>
      <c r="BS14">
        <f t="shared" si="5"/>
        <v>0</v>
      </c>
      <c r="BT14">
        <f t="shared" si="5"/>
        <v>0</v>
      </c>
      <c r="BU14">
        <f t="shared" si="5"/>
        <v>0</v>
      </c>
      <c r="BV14">
        <f t="shared" si="5"/>
        <v>0</v>
      </c>
      <c r="BW14">
        <f t="shared" si="5"/>
        <v>0</v>
      </c>
    </row>
    <row r="15" spans="1:75" hidden="1" x14ac:dyDescent="0.3">
      <c r="A15" s="3" t="s">
        <v>375</v>
      </c>
      <c r="B15" t="b">
        <f>OR(B5 &lt; B13, B9 &gt;B14 )</f>
        <v>1</v>
      </c>
      <c r="C15" t="b">
        <f t="shared" ref="C15:BN15" si="6">OR(C5 &lt; C13, C9 &gt;C14 )</f>
        <v>1</v>
      </c>
      <c r="D15" t="b">
        <f t="shared" si="6"/>
        <v>1</v>
      </c>
      <c r="E15" t="b">
        <f t="shared" si="6"/>
        <v>1</v>
      </c>
      <c r="F15" t="b">
        <f t="shared" si="6"/>
        <v>1</v>
      </c>
      <c r="G15" t="b">
        <f t="shared" si="6"/>
        <v>1</v>
      </c>
      <c r="H15" t="b">
        <f t="shared" si="6"/>
        <v>1</v>
      </c>
      <c r="I15" t="b">
        <f t="shared" si="6"/>
        <v>1</v>
      </c>
      <c r="J15" t="b">
        <f t="shared" si="6"/>
        <v>0</v>
      </c>
      <c r="K15" t="b">
        <f t="shared" si="6"/>
        <v>1</v>
      </c>
      <c r="L15" t="b">
        <f t="shared" si="6"/>
        <v>1</v>
      </c>
      <c r="M15" t="b">
        <f t="shared" si="6"/>
        <v>1</v>
      </c>
      <c r="N15" t="b">
        <f t="shared" si="6"/>
        <v>1</v>
      </c>
      <c r="O15" t="b">
        <f t="shared" si="6"/>
        <v>1</v>
      </c>
      <c r="P15" t="b">
        <f t="shared" si="6"/>
        <v>0</v>
      </c>
      <c r="Q15" t="b">
        <f t="shared" si="6"/>
        <v>0</v>
      </c>
      <c r="R15" t="b">
        <f t="shared" si="6"/>
        <v>1</v>
      </c>
      <c r="S15" t="b">
        <f t="shared" si="6"/>
        <v>1</v>
      </c>
      <c r="T15" t="b">
        <f t="shared" si="6"/>
        <v>1</v>
      </c>
      <c r="U15" t="b">
        <f t="shared" si="6"/>
        <v>1</v>
      </c>
      <c r="V15" t="b">
        <f t="shared" si="6"/>
        <v>1</v>
      </c>
      <c r="W15" t="b">
        <f t="shared" si="6"/>
        <v>1</v>
      </c>
      <c r="X15" t="b">
        <f t="shared" si="6"/>
        <v>1</v>
      </c>
      <c r="Y15" t="b">
        <f t="shared" si="6"/>
        <v>1</v>
      </c>
      <c r="Z15" t="b">
        <f t="shared" si="6"/>
        <v>1</v>
      </c>
      <c r="AA15" t="b">
        <f t="shared" si="6"/>
        <v>1</v>
      </c>
      <c r="AB15" t="b">
        <f t="shared" si="6"/>
        <v>1</v>
      </c>
      <c r="AC15" t="b">
        <f t="shared" si="6"/>
        <v>1</v>
      </c>
      <c r="AD15" t="b">
        <f t="shared" si="6"/>
        <v>1</v>
      </c>
      <c r="AE15" t="b">
        <f t="shared" si="6"/>
        <v>1</v>
      </c>
      <c r="AF15" t="b">
        <f t="shared" si="6"/>
        <v>1</v>
      </c>
      <c r="AG15" t="b">
        <f t="shared" si="6"/>
        <v>1</v>
      </c>
      <c r="AH15" t="b">
        <f t="shared" si="6"/>
        <v>0</v>
      </c>
      <c r="AI15" t="b">
        <f t="shared" si="6"/>
        <v>0</v>
      </c>
      <c r="AJ15" t="b">
        <f t="shared" si="6"/>
        <v>1</v>
      </c>
      <c r="AK15" t="b">
        <f t="shared" si="6"/>
        <v>1</v>
      </c>
      <c r="AL15" t="b">
        <f t="shared" si="6"/>
        <v>1</v>
      </c>
      <c r="AM15" t="b">
        <f t="shared" si="6"/>
        <v>1</v>
      </c>
      <c r="AN15" t="b">
        <f t="shared" si="6"/>
        <v>1</v>
      </c>
      <c r="AO15" t="b">
        <f t="shared" si="6"/>
        <v>1</v>
      </c>
      <c r="AP15" t="b">
        <f t="shared" si="6"/>
        <v>1</v>
      </c>
      <c r="AQ15" t="b">
        <f t="shared" si="6"/>
        <v>1</v>
      </c>
      <c r="AR15" t="b">
        <f t="shared" si="6"/>
        <v>0</v>
      </c>
      <c r="AS15" t="b">
        <f t="shared" si="6"/>
        <v>1</v>
      </c>
      <c r="AT15" t="b">
        <f t="shared" si="6"/>
        <v>1</v>
      </c>
      <c r="AU15" t="b">
        <f t="shared" si="6"/>
        <v>0</v>
      </c>
      <c r="AV15" t="b">
        <f t="shared" si="6"/>
        <v>0</v>
      </c>
      <c r="AW15" t="b">
        <f t="shared" si="6"/>
        <v>1</v>
      </c>
      <c r="AX15" t="b">
        <f t="shared" si="6"/>
        <v>1</v>
      </c>
      <c r="AY15" t="b">
        <f t="shared" si="6"/>
        <v>1</v>
      </c>
      <c r="AZ15" t="b">
        <f t="shared" si="6"/>
        <v>1</v>
      </c>
      <c r="BA15" t="b">
        <f t="shared" si="6"/>
        <v>1</v>
      </c>
      <c r="BB15" t="b">
        <f t="shared" si="6"/>
        <v>1</v>
      </c>
      <c r="BC15" t="b">
        <f t="shared" si="6"/>
        <v>1</v>
      </c>
      <c r="BD15" t="b">
        <f t="shared" si="6"/>
        <v>1</v>
      </c>
      <c r="BE15" t="b">
        <f t="shared" si="6"/>
        <v>1</v>
      </c>
      <c r="BF15" t="b">
        <f t="shared" si="6"/>
        <v>1</v>
      </c>
      <c r="BG15" t="b">
        <f t="shared" si="6"/>
        <v>1</v>
      </c>
      <c r="BH15" t="b">
        <f t="shared" si="6"/>
        <v>1</v>
      </c>
      <c r="BI15" t="b">
        <f t="shared" si="6"/>
        <v>1</v>
      </c>
      <c r="BJ15" t="b">
        <f t="shared" si="6"/>
        <v>1</v>
      </c>
      <c r="BK15" t="b">
        <f t="shared" si="6"/>
        <v>1</v>
      </c>
      <c r="BL15" t="b">
        <f t="shared" si="6"/>
        <v>1</v>
      </c>
      <c r="BM15" t="b">
        <f t="shared" si="6"/>
        <v>1</v>
      </c>
      <c r="BN15" t="b">
        <f t="shared" si="6"/>
        <v>1</v>
      </c>
      <c r="BO15" t="b">
        <f t="shared" ref="BO15:BW15" si="7">OR(BO5 &lt; BO13, BO9 &gt;BO14 )</f>
        <v>1</v>
      </c>
      <c r="BP15" t="b">
        <f t="shared" si="7"/>
        <v>1</v>
      </c>
      <c r="BQ15" t="b">
        <f t="shared" si="7"/>
        <v>1</v>
      </c>
      <c r="BR15" t="b">
        <f t="shared" si="7"/>
        <v>1</v>
      </c>
      <c r="BS15" t="b">
        <f t="shared" si="7"/>
        <v>1</v>
      </c>
      <c r="BT15" t="b">
        <f t="shared" si="7"/>
        <v>1</v>
      </c>
      <c r="BU15" t="b">
        <f t="shared" si="7"/>
        <v>1</v>
      </c>
      <c r="BV15" t="b">
        <f t="shared" si="7"/>
        <v>1</v>
      </c>
      <c r="BW15" t="b">
        <f t="shared" si="7"/>
        <v>0</v>
      </c>
    </row>
    <row r="16" spans="1:75" s="6" customFormat="1" x14ac:dyDescent="0.3">
      <c r="A16" s="6" t="s">
        <v>380</v>
      </c>
      <c r="B16" s="6" t="s">
        <v>386</v>
      </c>
      <c r="C16" s="6" t="s">
        <v>395</v>
      </c>
      <c r="D16" s="6" t="s">
        <v>395</v>
      </c>
      <c r="E16" s="6" t="s">
        <v>395</v>
      </c>
      <c r="F16" s="6" t="s">
        <v>395</v>
      </c>
      <c r="G16" s="6" t="s">
        <v>395</v>
      </c>
      <c r="H16" s="6" t="s">
        <v>395</v>
      </c>
      <c r="I16" s="6" t="s">
        <v>395</v>
      </c>
      <c r="J16" s="6" t="s">
        <v>395</v>
      </c>
      <c r="K16" s="6" t="s">
        <v>395</v>
      </c>
      <c r="N16" s="6" t="s">
        <v>395</v>
      </c>
      <c r="O16" s="6" t="s">
        <v>395</v>
      </c>
      <c r="P16" s="6" t="s">
        <v>395</v>
      </c>
    </row>
    <row r="17" spans="1:75" s="3" customFormat="1" x14ac:dyDescent="0.3">
      <c r="A17" s="3" t="s">
        <v>381</v>
      </c>
      <c r="C17" s="3" t="s">
        <v>383</v>
      </c>
      <c r="D17" s="3" t="s">
        <v>383</v>
      </c>
      <c r="E17" s="3" t="s">
        <v>383</v>
      </c>
      <c r="G17" s="3" t="s">
        <v>383</v>
      </c>
      <c r="H17" s="3" t="s">
        <v>383</v>
      </c>
      <c r="J17" s="8" t="s">
        <v>383</v>
      </c>
      <c r="K17" s="3" t="s">
        <v>383</v>
      </c>
      <c r="N17" s="3" t="s">
        <v>383</v>
      </c>
      <c r="O17" s="3" t="s">
        <v>383</v>
      </c>
      <c r="P17" s="8" t="s">
        <v>383</v>
      </c>
      <c r="Q17" s="3" t="s">
        <v>383</v>
      </c>
      <c r="R17" s="3" t="s">
        <v>383</v>
      </c>
      <c r="T17" s="3" t="s">
        <v>383</v>
      </c>
      <c r="U17" s="3" t="s">
        <v>383</v>
      </c>
      <c r="V17" s="3" t="s">
        <v>383</v>
      </c>
      <c r="W17" s="3" t="s">
        <v>383</v>
      </c>
      <c r="X17" s="3" t="s">
        <v>383</v>
      </c>
      <c r="Y17" s="3" t="s">
        <v>383</v>
      </c>
      <c r="Z17" s="3" t="s">
        <v>383</v>
      </c>
      <c r="AA17" s="3" t="s">
        <v>383</v>
      </c>
      <c r="AB17" s="3" t="s">
        <v>383</v>
      </c>
      <c r="AC17" s="3" t="s">
        <v>383</v>
      </c>
      <c r="AD17" s="3" t="s">
        <v>383</v>
      </c>
      <c r="AE17" s="3" t="s">
        <v>383</v>
      </c>
      <c r="AF17" s="3" t="s">
        <v>383</v>
      </c>
      <c r="AG17" s="3" t="s">
        <v>383</v>
      </c>
      <c r="AH17" s="3" t="s">
        <v>383</v>
      </c>
      <c r="AI17" s="3" t="s">
        <v>383</v>
      </c>
      <c r="AJ17" s="3" t="s">
        <v>383</v>
      </c>
      <c r="AL17" s="3" t="s">
        <v>383</v>
      </c>
      <c r="AM17" s="3" t="s">
        <v>383</v>
      </c>
      <c r="AN17" s="3" t="s">
        <v>383</v>
      </c>
      <c r="AO17" s="3" t="s">
        <v>383</v>
      </c>
      <c r="AP17" s="3" t="s">
        <v>383</v>
      </c>
      <c r="AQ17" s="3" t="s">
        <v>383</v>
      </c>
      <c r="AR17" s="3" t="s">
        <v>383</v>
      </c>
      <c r="AT17" s="3" t="s">
        <v>383</v>
      </c>
      <c r="AU17" s="3" t="s">
        <v>383</v>
      </c>
      <c r="AW17" s="3" t="s">
        <v>383</v>
      </c>
      <c r="AX17" s="3" t="s">
        <v>383</v>
      </c>
      <c r="AY17" s="3" t="s">
        <v>383</v>
      </c>
      <c r="AZ17" s="3" t="s">
        <v>383</v>
      </c>
      <c r="BA17" s="3" t="s">
        <v>383</v>
      </c>
      <c r="BB17" s="3" t="s">
        <v>383</v>
      </c>
      <c r="BC17" s="3" t="s">
        <v>383</v>
      </c>
      <c r="BD17" s="3" t="s">
        <v>383</v>
      </c>
      <c r="BE17" s="3" t="s">
        <v>383</v>
      </c>
      <c r="BF17" s="3" t="s">
        <v>383</v>
      </c>
      <c r="BG17" s="3" t="s">
        <v>383</v>
      </c>
      <c r="BH17" s="3" t="s">
        <v>383</v>
      </c>
      <c r="BI17" s="3" t="s">
        <v>383</v>
      </c>
      <c r="BJ17" s="3" t="s">
        <v>383</v>
      </c>
      <c r="BK17" s="3" t="s">
        <v>383</v>
      </c>
      <c r="BL17" s="3" t="s">
        <v>383</v>
      </c>
      <c r="BM17" s="3" t="s">
        <v>383</v>
      </c>
      <c r="BN17" s="3" t="s">
        <v>383</v>
      </c>
      <c r="BO17" s="3" t="s">
        <v>383</v>
      </c>
      <c r="BP17" s="3" t="s">
        <v>383</v>
      </c>
    </row>
    <row r="18" spans="1:75" s="6" customFormat="1" x14ac:dyDescent="0.3">
      <c r="A18" s="6" t="s">
        <v>382</v>
      </c>
      <c r="J18" s="7"/>
      <c r="P18" s="7"/>
    </row>
    <row r="19" spans="1:75" x14ac:dyDescent="0.3">
      <c r="A19" s="3" t="s">
        <v>375</v>
      </c>
      <c r="B19" t="b">
        <v>1</v>
      </c>
      <c r="C19" t="b">
        <v>1</v>
      </c>
      <c r="D19" t="b">
        <v>1</v>
      </c>
      <c r="E19" t="s">
        <v>385</v>
      </c>
      <c r="F19" t="b">
        <v>1</v>
      </c>
      <c r="G19" t="b">
        <v>1</v>
      </c>
      <c r="H19" t="b">
        <v>1</v>
      </c>
      <c r="I19" t="b">
        <v>1</v>
      </c>
      <c r="J19" s="5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 t="b">
        <v>0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1</v>
      </c>
      <c r="AU19" t="b">
        <v>0</v>
      </c>
      <c r="AV19" t="b">
        <v>0</v>
      </c>
      <c r="AW19" t="b">
        <v>1</v>
      </c>
      <c r="AX19" t="b">
        <v>1</v>
      </c>
      <c r="AY19" t="b">
        <v>1</v>
      </c>
      <c r="AZ19" t="b">
        <v>1</v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b">
        <v>1</v>
      </c>
      <c r="BW19" t="b">
        <v>0</v>
      </c>
    </row>
    <row r="20" spans="1:75" x14ac:dyDescent="0.3">
      <c r="B20">
        <v>6244</v>
      </c>
      <c r="C20">
        <v>3568</v>
      </c>
      <c r="D20">
        <v>4961</v>
      </c>
      <c r="E20">
        <v>4961</v>
      </c>
      <c r="F20">
        <v>11007</v>
      </c>
      <c r="G20">
        <v>868</v>
      </c>
      <c r="H20">
        <v>283</v>
      </c>
      <c r="I20">
        <v>10622</v>
      </c>
      <c r="J20">
        <v>0</v>
      </c>
      <c r="K20">
        <v>283</v>
      </c>
      <c r="L20">
        <v>5778</v>
      </c>
      <c r="M20">
        <v>36</v>
      </c>
      <c r="N20">
        <v>143</v>
      </c>
      <c r="O20">
        <v>129</v>
      </c>
      <c r="P20">
        <v>0</v>
      </c>
      <c r="Q20">
        <v>0</v>
      </c>
      <c r="R20">
        <v>286</v>
      </c>
      <c r="S20">
        <v>12291</v>
      </c>
      <c r="T20">
        <v>2</v>
      </c>
      <c r="U20">
        <v>2174</v>
      </c>
      <c r="V20">
        <v>3456</v>
      </c>
      <c r="W20">
        <v>3153</v>
      </c>
      <c r="X20">
        <v>760</v>
      </c>
      <c r="Y20">
        <v>2</v>
      </c>
      <c r="Z20">
        <v>3866</v>
      </c>
      <c r="AA20">
        <v>403</v>
      </c>
      <c r="AB20">
        <v>110</v>
      </c>
      <c r="AC20">
        <v>2</v>
      </c>
      <c r="AD20">
        <v>205</v>
      </c>
      <c r="AE20">
        <v>2880</v>
      </c>
      <c r="AF20">
        <v>1873</v>
      </c>
      <c r="AG20">
        <v>1797</v>
      </c>
      <c r="AH20">
        <v>0</v>
      </c>
      <c r="AI20">
        <v>0</v>
      </c>
      <c r="AJ20">
        <v>2</v>
      </c>
      <c r="AK20">
        <v>15983</v>
      </c>
      <c r="AL20">
        <v>279</v>
      </c>
      <c r="AM20">
        <v>82</v>
      </c>
      <c r="AN20">
        <v>48</v>
      </c>
      <c r="AO20">
        <v>2</v>
      </c>
      <c r="AP20">
        <v>4961</v>
      </c>
      <c r="AQ20">
        <v>283</v>
      </c>
      <c r="AR20">
        <v>0</v>
      </c>
      <c r="AS20">
        <v>15281</v>
      </c>
      <c r="AT20">
        <v>129</v>
      </c>
      <c r="AU20">
        <v>0</v>
      </c>
      <c r="AV20">
        <v>0</v>
      </c>
      <c r="AW20">
        <v>2</v>
      </c>
      <c r="AX20">
        <v>2</v>
      </c>
      <c r="AY20">
        <v>2072</v>
      </c>
      <c r="AZ20">
        <v>60</v>
      </c>
      <c r="BA20">
        <v>24</v>
      </c>
      <c r="BB20">
        <v>102</v>
      </c>
      <c r="BC20">
        <v>38</v>
      </c>
      <c r="BD20">
        <v>21</v>
      </c>
      <c r="BE20">
        <v>1</v>
      </c>
      <c r="BF20">
        <v>6</v>
      </c>
      <c r="BG20">
        <v>4</v>
      </c>
      <c r="BH20">
        <v>11</v>
      </c>
      <c r="BI20">
        <v>1</v>
      </c>
      <c r="BJ20">
        <v>45</v>
      </c>
      <c r="BK20">
        <v>2050</v>
      </c>
      <c r="BL20">
        <v>59</v>
      </c>
      <c r="BM20">
        <v>19</v>
      </c>
      <c r="BN20">
        <v>97</v>
      </c>
      <c r="BO20">
        <v>38</v>
      </c>
      <c r="BP20">
        <v>21</v>
      </c>
      <c r="BQ20">
        <v>1</v>
      </c>
      <c r="BR20">
        <v>6</v>
      </c>
      <c r="BS20">
        <v>4</v>
      </c>
      <c r="BT20">
        <v>11</v>
      </c>
      <c r="BU20">
        <v>1</v>
      </c>
      <c r="BV20">
        <v>45</v>
      </c>
      <c r="BW20">
        <v>0</v>
      </c>
    </row>
    <row r="21" spans="1:75" x14ac:dyDescent="0.3">
      <c r="A21" t="s">
        <v>388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3">
      <c r="A22" t="s">
        <v>389</v>
      </c>
      <c r="B22">
        <v>13</v>
      </c>
      <c r="C22">
        <v>21</v>
      </c>
      <c r="D22">
        <v>22</v>
      </c>
      <c r="E22">
        <v>22</v>
      </c>
      <c r="F22">
        <v>9</v>
      </c>
      <c r="G22">
        <v>3</v>
      </c>
      <c r="H22">
        <v>2</v>
      </c>
      <c r="I22">
        <v>9</v>
      </c>
      <c r="J22">
        <v>1</v>
      </c>
      <c r="K22">
        <v>2</v>
      </c>
      <c r="L22">
        <v>8</v>
      </c>
      <c r="M22">
        <v>7</v>
      </c>
      <c r="N22">
        <v>3</v>
      </c>
      <c r="O22">
        <v>2</v>
      </c>
      <c r="P22">
        <v>1</v>
      </c>
      <c r="Q22">
        <v>1</v>
      </c>
      <c r="R22">
        <v>285</v>
      </c>
      <c r="S22">
        <v>11642</v>
      </c>
      <c r="T22">
        <v>3</v>
      </c>
      <c r="U22">
        <v>1989</v>
      </c>
      <c r="V22">
        <v>3059</v>
      </c>
      <c r="W22">
        <v>730</v>
      </c>
      <c r="X22">
        <v>229</v>
      </c>
      <c r="Y22">
        <v>3</v>
      </c>
      <c r="Z22">
        <v>859</v>
      </c>
      <c r="AA22">
        <v>345</v>
      </c>
      <c r="AB22">
        <v>111</v>
      </c>
      <c r="AC22">
        <v>3</v>
      </c>
      <c r="AD22">
        <v>176</v>
      </c>
      <c r="AE22">
        <v>2614</v>
      </c>
      <c r="AF22">
        <v>1592</v>
      </c>
      <c r="AG22">
        <v>1524</v>
      </c>
      <c r="AH22">
        <v>1</v>
      </c>
      <c r="AI22">
        <v>1</v>
      </c>
      <c r="AJ22">
        <v>3</v>
      </c>
      <c r="AK22">
        <v>16940</v>
      </c>
      <c r="AL22">
        <v>278</v>
      </c>
      <c r="AM22">
        <v>75</v>
      </c>
      <c r="AN22">
        <v>48</v>
      </c>
      <c r="AO22">
        <v>3</v>
      </c>
      <c r="AP22">
        <v>4041</v>
      </c>
      <c r="AQ22">
        <v>282</v>
      </c>
      <c r="AR22">
        <v>1</v>
      </c>
      <c r="AS22">
        <v>15730</v>
      </c>
      <c r="AT22">
        <v>129</v>
      </c>
      <c r="AU22">
        <v>1</v>
      </c>
      <c r="AV22">
        <v>5</v>
      </c>
      <c r="AW22">
        <v>2</v>
      </c>
      <c r="AX22">
        <v>2</v>
      </c>
      <c r="AY22">
        <v>27</v>
      </c>
      <c r="AZ22">
        <v>7</v>
      </c>
      <c r="BA22">
        <v>9</v>
      </c>
      <c r="BB22">
        <v>17</v>
      </c>
      <c r="BC22">
        <v>2</v>
      </c>
      <c r="BD22">
        <v>3</v>
      </c>
      <c r="BE22">
        <v>2</v>
      </c>
      <c r="BF22">
        <v>3</v>
      </c>
      <c r="BG22">
        <v>2</v>
      </c>
      <c r="BH22">
        <v>3</v>
      </c>
      <c r="BI22">
        <v>2</v>
      </c>
      <c r="BJ22">
        <v>5</v>
      </c>
      <c r="BK22">
        <v>6</v>
      </c>
      <c r="BL22">
        <v>6</v>
      </c>
      <c r="BM22">
        <v>4</v>
      </c>
      <c r="BN22">
        <v>9</v>
      </c>
      <c r="BO22">
        <v>2</v>
      </c>
      <c r="BP22">
        <v>3</v>
      </c>
      <c r="BQ22">
        <v>2</v>
      </c>
      <c r="BR22">
        <v>3</v>
      </c>
      <c r="BS22">
        <v>2</v>
      </c>
      <c r="BT22">
        <v>3</v>
      </c>
      <c r="BU22">
        <v>2</v>
      </c>
      <c r="BV22">
        <v>5</v>
      </c>
      <c r="BW22">
        <v>1</v>
      </c>
    </row>
    <row r="23" spans="1:75" x14ac:dyDescent="0.3">
      <c r="A23" t="s">
        <v>390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3</v>
      </c>
      <c r="J23">
        <v>0</v>
      </c>
      <c r="K23">
        <v>0</v>
      </c>
      <c r="L23">
        <v>3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99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3">
      <c r="A24" t="s">
        <v>391</v>
      </c>
      <c r="B24">
        <v>37921</v>
      </c>
      <c r="C24">
        <v>72452</v>
      </c>
      <c r="D24">
        <v>71059</v>
      </c>
      <c r="E24">
        <v>71059</v>
      </c>
      <c r="F24">
        <v>65013</v>
      </c>
      <c r="G24">
        <v>75152</v>
      </c>
      <c r="H24">
        <v>75737</v>
      </c>
      <c r="I24">
        <v>65398</v>
      </c>
      <c r="J24">
        <v>76020</v>
      </c>
      <c r="K24">
        <v>75737</v>
      </c>
      <c r="L24">
        <v>70242</v>
      </c>
      <c r="M24">
        <v>52064</v>
      </c>
      <c r="N24">
        <v>75877</v>
      </c>
      <c r="O24">
        <v>75891</v>
      </c>
      <c r="P24">
        <v>76020</v>
      </c>
      <c r="Q24">
        <v>76020</v>
      </c>
      <c r="R24">
        <v>75734</v>
      </c>
      <c r="S24">
        <v>25561</v>
      </c>
      <c r="T24">
        <v>76018</v>
      </c>
      <c r="U24">
        <v>73846</v>
      </c>
      <c r="V24">
        <v>72564</v>
      </c>
      <c r="W24">
        <v>72867</v>
      </c>
      <c r="X24">
        <v>75260</v>
      </c>
      <c r="Y24">
        <v>76018</v>
      </c>
      <c r="Z24">
        <v>72154</v>
      </c>
      <c r="AA24">
        <v>75617</v>
      </c>
      <c r="AB24">
        <v>75910</v>
      </c>
      <c r="AC24">
        <v>76018</v>
      </c>
      <c r="AD24">
        <v>75815</v>
      </c>
      <c r="AE24">
        <v>73140</v>
      </c>
      <c r="AF24">
        <v>74147</v>
      </c>
      <c r="AG24">
        <v>74223</v>
      </c>
      <c r="AH24">
        <v>76020</v>
      </c>
      <c r="AI24">
        <v>76020</v>
      </c>
      <c r="AJ24">
        <v>76018</v>
      </c>
      <c r="AK24">
        <v>20310</v>
      </c>
      <c r="AL24">
        <v>75741</v>
      </c>
      <c r="AM24">
        <v>75938</v>
      </c>
      <c r="AN24">
        <v>75972</v>
      </c>
      <c r="AO24">
        <v>76018</v>
      </c>
      <c r="AP24">
        <v>71059</v>
      </c>
      <c r="AQ24">
        <v>75737</v>
      </c>
      <c r="AR24">
        <v>76020</v>
      </c>
      <c r="AS24">
        <v>21786</v>
      </c>
      <c r="AT24">
        <v>75891</v>
      </c>
      <c r="AU24">
        <v>76020</v>
      </c>
      <c r="AV24">
        <v>30064</v>
      </c>
      <c r="AW24">
        <v>76018</v>
      </c>
      <c r="AX24">
        <v>76018</v>
      </c>
      <c r="AY24">
        <v>73948</v>
      </c>
      <c r="AZ24">
        <v>75960</v>
      </c>
      <c r="BA24">
        <v>75996</v>
      </c>
      <c r="BB24">
        <v>75918</v>
      </c>
      <c r="BC24">
        <v>75982</v>
      </c>
      <c r="BD24">
        <v>75999</v>
      </c>
      <c r="BE24">
        <v>76019</v>
      </c>
      <c r="BF24">
        <v>76014</v>
      </c>
      <c r="BG24">
        <v>76016</v>
      </c>
      <c r="BH24">
        <v>76009</v>
      </c>
      <c r="BI24">
        <v>76019</v>
      </c>
      <c r="BJ24">
        <v>75975</v>
      </c>
      <c r="BK24">
        <v>73970</v>
      </c>
      <c r="BL24">
        <v>75961</v>
      </c>
      <c r="BM24">
        <v>76001</v>
      </c>
      <c r="BN24">
        <v>75923</v>
      </c>
      <c r="BO24">
        <v>75982</v>
      </c>
      <c r="BP24">
        <v>75999</v>
      </c>
      <c r="BQ24">
        <v>76019</v>
      </c>
      <c r="BR24">
        <v>76014</v>
      </c>
      <c r="BS24">
        <v>76016</v>
      </c>
      <c r="BT24">
        <v>76009</v>
      </c>
      <c r="BU24">
        <v>76019</v>
      </c>
      <c r="BV24">
        <v>75975</v>
      </c>
      <c r="BW24">
        <v>76020</v>
      </c>
    </row>
    <row r="25" spans="1:75" x14ac:dyDescent="0.3">
      <c r="A25" t="s">
        <v>392</v>
      </c>
      <c r="B25" s="9">
        <v>0.49880000000000002</v>
      </c>
      <c r="C25" s="9">
        <v>0.95309999999999995</v>
      </c>
      <c r="D25" s="9">
        <v>0.93469999999999998</v>
      </c>
      <c r="E25" s="9">
        <v>0.93469999999999998</v>
      </c>
      <c r="F25" s="9">
        <v>0.85519999999999996</v>
      </c>
      <c r="G25" s="9">
        <v>0.98860000000000003</v>
      </c>
      <c r="H25" s="9">
        <v>0.99629999999999996</v>
      </c>
      <c r="I25" s="9">
        <v>0.86029999999999995</v>
      </c>
      <c r="J25" s="9">
        <v>1</v>
      </c>
      <c r="K25" s="9">
        <v>0.99629999999999996</v>
      </c>
      <c r="L25" s="9">
        <v>0.92400000000000004</v>
      </c>
      <c r="M25" s="9">
        <v>0.68489999999999995</v>
      </c>
      <c r="N25" s="9">
        <v>0.99809999999999999</v>
      </c>
      <c r="O25" s="9">
        <v>0.99829999999999997</v>
      </c>
      <c r="P25" s="9">
        <v>1</v>
      </c>
      <c r="Q25" s="9">
        <v>1</v>
      </c>
      <c r="R25" s="9">
        <v>0.99619999999999997</v>
      </c>
      <c r="S25" s="9">
        <v>0.3362</v>
      </c>
      <c r="T25" s="9">
        <v>1</v>
      </c>
      <c r="U25" s="9">
        <v>0.97140000000000004</v>
      </c>
      <c r="V25" s="9">
        <v>0.95450000000000002</v>
      </c>
      <c r="W25" s="9">
        <v>0.95850000000000002</v>
      </c>
      <c r="X25" s="9">
        <v>0.99</v>
      </c>
      <c r="Y25" s="9">
        <v>1</v>
      </c>
      <c r="Z25" s="9">
        <v>0.94910000000000005</v>
      </c>
      <c r="AA25" s="9">
        <v>0.99470000000000003</v>
      </c>
      <c r="AB25" s="9">
        <v>0.99860000000000004</v>
      </c>
      <c r="AC25" s="9">
        <v>1</v>
      </c>
      <c r="AD25" s="9">
        <v>0.99729999999999996</v>
      </c>
      <c r="AE25" s="9">
        <v>0.96209999999999996</v>
      </c>
      <c r="AF25" s="9">
        <v>0.97540000000000004</v>
      </c>
      <c r="AG25" s="9">
        <v>0.97640000000000005</v>
      </c>
      <c r="AH25" s="9">
        <v>1</v>
      </c>
      <c r="AI25" s="9">
        <v>1</v>
      </c>
      <c r="AJ25" s="9">
        <v>1</v>
      </c>
      <c r="AK25" s="9">
        <v>0.26719999999999999</v>
      </c>
      <c r="AL25" s="9">
        <v>0.99629999999999996</v>
      </c>
      <c r="AM25" s="9">
        <v>0.99890000000000001</v>
      </c>
      <c r="AN25" s="9">
        <v>0.99939999999999996</v>
      </c>
      <c r="AO25" s="9">
        <v>1</v>
      </c>
      <c r="AP25" s="9">
        <v>0.93469999999999998</v>
      </c>
      <c r="AQ25" s="9">
        <v>0.99629999999999996</v>
      </c>
      <c r="AR25" s="9">
        <v>1</v>
      </c>
      <c r="AS25" s="9">
        <v>0.28660000000000002</v>
      </c>
      <c r="AT25" s="9">
        <v>0.99829999999999997</v>
      </c>
      <c r="AU25" s="9">
        <v>1</v>
      </c>
      <c r="AV25" s="9">
        <v>0.39550000000000002</v>
      </c>
      <c r="AW25" s="9">
        <v>1</v>
      </c>
      <c r="AX25" s="9">
        <v>1</v>
      </c>
      <c r="AY25" s="9">
        <v>0.97270000000000001</v>
      </c>
      <c r="AZ25" s="9">
        <v>0.99919999999999998</v>
      </c>
      <c r="BA25" s="9">
        <v>0.99970000000000003</v>
      </c>
      <c r="BB25" s="9">
        <v>0.99870000000000003</v>
      </c>
      <c r="BC25" s="9">
        <v>0.99950000000000006</v>
      </c>
      <c r="BD25" s="9">
        <v>0.99970000000000003</v>
      </c>
      <c r="BE25" s="9">
        <v>1</v>
      </c>
      <c r="BF25" s="9">
        <v>0.99990000000000001</v>
      </c>
      <c r="BG25" s="9">
        <v>0.99990000000000001</v>
      </c>
      <c r="BH25" s="9">
        <v>0.99990000000000001</v>
      </c>
      <c r="BI25" s="9">
        <v>1</v>
      </c>
      <c r="BJ25" s="9">
        <v>0.99939999999999996</v>
      </c>
      <c r="BK25" s="9">
        <v>0.97299999999999998</v>
      </c>
      <c r="BL25" s="9">
        <v>0.99919999999999998</v>
      </c>
      <c r="BM25" s="9">
        <v>0.99980000000000002</v>
      </c>
      <c r="BN25" s="9">
        <v>0.99870000000000003</v>
      </c>
      <c r="BO25" s="9">
        <v>0.99950000000000006</v>
      </c>
      <c r="BP25" s="9">
        <v>0.99970000000000003</v>
      </c>
      <c r="BQ25" s="9">
        <v>1</v>
      </c>
      <c r="BR25" s="9">
        <v>0.99990000000000001</v>
      </c>
      <c r="BS25" s="9">
        <v>0.99990000000000001</v>
      </c>
      <c r="BT25" s="9">
        <v>0.99990000000000001</v>
      </c>
      <c r="BU25" s="9">
        <v>1</v>
      </c>
      <c r="BV25" s="9">
        <v>0.99939999999999996</v>
      </c>
      <c r="BW25" s="9">
        <v>1</v>
      </c>
    </row>
    <row r="26" spans="1:75" x14ac:dyDescent="0.3">
      <c r="A26" t="s">
        <v>393</v>
      </c>
      <c r="B26">
        <v>19528</v>
      </c>
      <c r="C26">
        <v>72452</v>
      </c>
      <c r="D26">
        <v>71059</v>
      </c>
      <c r="E26">
        <v>71059</v>
      </c>
      <c r="F26">
        <v>9065</v>
      </c>
      <c r="G26">
        <v>75152</v>
      </c>
      <c r="H26">
        <v>75737</v>
      </c>
      <c r="I26">
        <v>9177</v>
      </c>
      <c r="J26">
        <v>76020</v>
      </c>
      <c r="K26">
        <v>75737</v>
      </c>
      <c r="L26">
        <v>436</v>
      </c>
      <c r="M26">
        <v>21908</v>
      </c>
      <c r="N26">
        <v>75877</v>
      </c>
      <c r="O26">
        <v>75891</v>
      </c>
      <c r="P26">
        <v>76020</v>
      </c>
      <c r="Q26">
        <v>76020</v>
      </c>
      <c r="R26">
        <v>75734</v>
      </c>
      <c r="S26">
        <v>25561</v>
      </c>
      <c r="T26">
        <v>76018</v>
      </c>
      <c r="U26">
        <v>73846</v>
      </c>
      <c r="V26">
        <v>72564</v>
      </c>
      <c r="W26">
        <v>72867</v>
      </c>
      <c r="X26">
        <v>75260</v>
      </c>
      <c r="Y26">
        <v>76018</v>
      </c>
      <c r="Z26">
        <v>72154</v>
      </c>
      <c r="AA26">
        <v>75617</v>
      </c>
      <c r="AB26">
        <v>75910</v>
      </c>
      <c r="AC26">
        <v>76018</v>
      </c>
      <c r="AD26">
        <v>75815</v>
      </c>
      <c r="AE26">
        <v>73140</v>
      </c>
      <c r="AF26">
        <v>74147</v>
      </c>
      <c r="AG26">
        <v>74223</v>
      </c>
      <c r="AH26">
        <v>76020</v>
      </c>
      <c r="AI26">
        <v>76020</v>
      </c>
      <c r="AJ26">
        <v>76018</v>
      </c>
      <c r="AK26">
        <v>20310</v>
      </c>
      <c r="AL26">
        <v>75741</v>
      </c>
      <c r="AM26">
        <v>75938</v>
      </c>
      <c r="AN26">
        <v>75972</v>
      </c>
      <c r="AO26">
        <v>76018</v>
      </c>
      <c r="AP26">
        <v>71059</v>
      </c>
      <c r="AQ26">
        <v>75737</v>
      </c>
      <c r="AR26">
        <v>76020</v>
      </c>
      <c r="AS26">
        <v>21786</v>
      </c>
      <c r="AT26">
        <v>75891</v>
      </c>
      <c r="AU26">
        <v>76020</v>
      </c>
      <c r="AV26">
        <v>411</v>
      </c>
      <c r="AW26">
        <v>76018</v>
      </c>
      <c r="AX26">
        <v>76018</v>
      </c>
      <c r="AY26">
        <v>73948</v>
      </c>
      <c r="AZ26">
        <v>75960</v>
      </c>
      <c r="BA26">
        <v>75996</v>
      </c>
      <c r="BB26">
        <v>75918</v>
      </c>
      <c r="BC26">
        <v>75982</v>
      </c>
      <c r="BD26">
        <v>75999</v>
      </c>
      <c r="BE26">
        <v>76019</v>
      </c>
      <c r="BF26">
        <v>76014</v>
      </c>
      <c r="BG26">
        <v>76016</v>
      </c>
      <c r="BH26">
        <v>76009</v>
      </c>
      <c r="BI26">
        <v>76019</v>
      </c>
      <c r="BJ26">
        <v>75975</v>
      </c>
      <c r="BK26">
        <v>73970</v>
      </c>
      <c r="BL26">
        <v>75961</v>
      </c>
      <c r="BM26">
        <v>76001</v>
      </c>
      <c r="BN26">
        <v>75923</v>
      </c>
      <c r="BO26">
        <v>75982</v>
      </c>
      <c r="BP26">
        <v>75999</v>
      </c>
      <c r="BQ26">
        <v>76019</v>
      </c>
      <c r="BR26">
        <v>76014</v>
      </c>
      <c r="BS26">
        <v>76016</v>
      </c>
      <c r="BT26">
        <v>76009</v>
      </c>
      <c r="BU26">
        <v>76019</v>
      </c>
      <c r="BV26">
        <v>75975</v>
      </c>
      <c r="BW26">
        <v>76020</v>
      </c>
    </row>
    <row r="27" spans="1:75" x14ac:dyDescent="0.3">
      <c r="A27" t="s">
        <v>394</v>
      </c>
      <c r="B27" s="9">
        <v>0.25690000000000002</v>
      </c>
      <c r="C27" s="10">
        <v>0.95309999999999995</v>
      </c>
      <c r="D27" s="10">
        <v>0.93469999999999998</v>
      </c>
      <c r="E27" s="10">
        <v>0.93469999999999998</v>
      </c>
      <c r="F27" s="9">
        <v>0.1192</v>
      </c>
      <c r="G27" s="10">
        <v>0.98860000000000003</v>
      </c>
      <c r="H27" s="10">
        <v>0.99629999999999996</v>
      </c>
      <c r="I27" s="9">
        <v>0.1207</v>
      </c>
      <c r="J27" s="10">
        <v>1</v>
      </c>
      <c r="K27" s="10">
        <v>0.99629999999999996</v>
      </c>
      <c r="L27" s="9">
        <v>5.7000000000000002E-3</v>
      </c>
      <c r="M27" s="9">
        <v>0.28820000000000001</v>
      </c>
      <c r="N27" s="10">
        <v>0.99809999999999999</v>
      </c>
      <c r="O27" s="10">
        <v>0.99829999999999997</v>
      </c>
      <c r="P27" s="10">
        <v>1</v>
      </c>
      <c r="Q27" s="10">
        <v>1</v>
      </c>
      <c r="R27" s="10">
        <v>0.99619999999999997</v>
      </c>
      <c r="S27" s="9">
        <v>0.3362</v>
      </c>
      <c r="T27" s="10">
        <v>1</v>
      </c>
      <c r="U27" s="10">
        <v>0.97140000000000004</v>
      </c>
      <c r="V27" s="10">
        <v>0.95450000000000002</v>
      </c>
      <c r="W27" s="10">
        <v>0.95850000000000002</v>
      </c>
      <c r="X27" s="10">
        <v>0.99</v>
      </c>
      <c r="Y27" s="10">
        <v>1</v>
      </c>
      <c r="Z27" s="10">
        <v>0.94910000000000005</v>
      </c>
      <c r="AA27" s="10">
        <v>0.99470000000000003</v>
      </c>
      <c r="AB27" s="10">
        <v>0.99860000000000004</v>
      </c>
      <c r="AC27" s="10">
        <v>1</v>
      </c>
      <c r="AD27" s="10">
        <v>0.99729999999999996</v>
      </c>
      <c r="AE27" s="10">
        <v>0.96209999999999996</v>
      </c>
      <c r="AF27" s="10">
        <v>0.97540000000000004</v>
      </c>
      <c r="AG27" s="10">
        <v>0.97640000000000005</v>
      </c>
      <c r="AH27" s="10">
        <v>1</v>
      </c>
      <c r="AI27" s="10">
        <v>1</v>
      </c>
      <c r="AJ27" s="10">
        <v>1</v>
      </c>
      <c r="AK27" s="9">
        <v>0.26719999999999999</v>
      </c>
      <c r="AL27" s="10">
        <v>0.99629999999999996</v>
      </c>
      <c r="AM27" s="10">
        <v>0.99890000000000001</v>
      </c>
      <c r="AN27" s="10">
        <v>0.99939999999999996</v>
      </c>
      <c r="AO27" s="10">
        <v>1</v>
      </c>
      <c r="AP27" s="10">
        <v>0.93469999999999998</v>
      </c>
      <c r="AQ27" s="10">
        <v>0.99629999999999996</v>
      </c>
      <c r="AR27" s="10">
        <v>1</v>
      </c>
      <c r="AS27" s="9">
        <v>0.28660000000000002</v>
      </c>
      <c r="AT27" s="10">
        <v>0.99829999999999997</v>
      </c>
      <c r="AU27" s="10">
        <v>1</v>
      </c>
      <c r="AV27" s="9">
        <v>5.4000000000000003E-3</v>
      </c>
      <c r="AW27" s="10">
        <v>1</v>
      </c>
      <c r="AX27" s="10">
        <v>1</v>
      </c>
      <c r="AY27" s="10">
        <v>0.97270000000000001</v>
      </c>
      <c r="AZ27" s="10">
        <v>0.99919999999999998</v>
      </c>
      <c r="BA27" s="10">
        <v>0.99970000000000003</v>
      </c>
      <c r="BB27" s="10">
        <v>0.99870000000000003</v>
      </c>
      <c r="BC27" s="10">
        <v>0.99950000000000006</v>
      </c>
      <c r="BD27" s="10">
        <v>0.99970000000000003</v>
      </c>
      <c r="BE27" s="10">
        <v>1</v>
      </c>
      <c r="BF27" s="10">
        <v>0.99990000000000001</v>
      </c>
      <c r="BG27" s="10">
        <v>0.99990000000000001</v>
      </c>
      <c r="BH27" s="10">
        <v>0.99990000000000001</v>
      </c>
      <c r="BI27" s="10">
        <v>1</v>
      </c>
      <c r="BJ27" s="10">
        <v>0.99939999999999996</v>
      </c>
      <c r="BK27" s="10">
        <v>0.97299999999999998</v>
      </c>
      <c r="BL27" s="10">
        <v>0.99919999999999998</v>
      </c>
      <c r="BM27" s="10">
        <v>0.99980000000000002</v>
      </c>
      <c r="BN27" s="10">
        <v>0.99870000000000003</v>
      </c>
      <c r="BO27" s="10">
        <v>0.99950000000000006</v>
      </c>
      <c r="BP27" s="10">
        <v>0.99970000000000003</v>
      </c>
      <c r="BQ27" s="10">
        <v>1</v>
      </c>
      <c r="BR27" s="10">
        <v>0.99990000000000001</v>
      </c>
      <c r="BS27" s="10">
        <v>0.99990000000000001</v>
      </c>
      <c r="BT27" s="10">
        <v>0.99990000000000001</v>
      </c>
      <c r="BU27" s="10">
        <v>1</v>
      </c>
      <c r="BV27" s="10">
        <v>0.99939999999999996</v>
      </c>
      <c r="BW27" s="1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describe_summary</vt:lpstr>
      <vt:lpstr>LKJ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이경주</dc:creator>
  <cp:lastModifiedBy>경주 이</cp:lastModifiedBy>
  <dcterms:created xsi:type="dcterms:W3CDTF">2025-11-19T05:42:21Z</dcterms:created>
  <dcterms:modified xsi:type="dcterms:W3CDTF">2025-11-19T08:54:19Z</dcterms:modified>
</cp:coreProperties>
</file>