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ig20\git\big20-ML-project2-team3\SantanderCS\data\"/>
    </mc:Choice>
  </mc:AlternateContent>
  <xr:revisionPtr revIDLastSave="0" documentId="13_ncr:1_{03962458-3B01-40E9-AFD6-33A220021512}" xr6:coauthVersionLast="47" xr6:coauthVersionMax="47" xr10:uidLastSave="{00000000-0000-0000-0000-000000000000}"/>
  <bookViews>
    <workbookView xWindow="-120" yWindow="-120" windowWidth="29040" windowHeight="15840" xr2:uid="{AD4817E5-F76A-4F89-867E-BD8F107C32DF}"/>
  </bookViews>
  <sheets>
    <sheet name="YJH" sheetId="6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6" l="1"/>
  <c r="E76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2" i="6"/>
</calcChain>
</file>

<file path=xl/sharedStrings.xml><?xml version="1.0" encoding="utf-8"?>
<sst xmlns="http://schemas.openxmlformats.org/spreadsheetml/2006/main" count="239" uniqueCount="204">
  <si>
    <t xml:space="preserve">피처 명 </t>
    <phoneticPr fontId="1" type="noConversion"/>
  </si>
  <si>
    <t>담당자</t>
    <phoneticPr fontId="1" type="noConversion"/>
  </si>
  <si>
    <t>파악한 특성</t>
    <phoneticPr fontId="1" type="noConversion"/>
  </si>
  <si>
    <t>삭제여부(Y/N)</t>
    <phoneticPr fontId="1" type="noConversion"/>
  </si>
  <si>
    <t>fillna할 값</t>
    <phoneticPr fontId="1" type="noConversion"/>
  </si>
  <si>
    <t>총삭제할 피처수</t>
    <phoneticPr fontId="1" type="noConversion"/>
  </si>
  <si>
    <t>saldo_medio</t>
  </si>
  <si>
    <t>평균 잔액 (average balance)</t>
  </si>
  <si>
    <t>num_op_var40_efect_ult1</t>
    <phoneticPr fontId="1" type="noConversion"/>
  </si>
  <si>
    <t>윤지훈(YJH)</t>
    <phoneticPr fontId="1" type="noConversion"/>
  </si>
  <si>
    <t>var29</t>
  </si>
  <si>
    <t>특정 상품/계좌 코드(익명화된 번호)</t>
  </si>
  <si>
    <t>num_op_var40_efect_ult3</t>
  </si>
  <si>
    <t>fillna할 피처수</t>
  </si>
  <si>
    <t>hace2</t>
  </si>
  <si>
    <r>
      <t xml:space="preserve"> “2개월 전”을 의미 (스페인어 </t>
    </r>
    <r>
      <rPr>
        <i/>
        <sz val="11"/>
        <color rgb="FF000000"/>
        <rFont val="Arial"/>
        <family val="2"/>
        <charset val="1"/>
      </rPr>
      <t>hace</t>
    </r>
    <r>
      <rPr>
        <sz val="11"/>
        <color rgb="FF000000"/>
        <rFont val="Arial"/>
        <family val="2"/>
        <charset val="1"/>
      </rPr>
      <t xml:space="preserve"> = “ago”)</t>
    </r>
  </si>
  <si>
    <t>num_op_var41_comer_ult1</t>
  </si>
  <si>
    <t>ult1</t>
  </si>
  <si>
    <r>
      <t>최근 1개월 (</t>
    </r>
    <r>
      <rPr>
        <i/>
        <sz val="11"/>
        <color rgb="FF000000"/>
        <rFont val="Arial"/>
        <family val="2"/>
        <charset val="1"/>
      </rPr>
      <t>último 1 mes</t>
    </r>
    <r>
      <rPr>
        <sz val="11"/>
        <color rgb="FF000000"/>
        <rFont val="Arial"/>
        <family val="2"/>
        <charset val="1"/>
      </rPr>
      <t>, 스페인어로 “last 1”)</t>
    </r>
  </si>
  <si>
    <t>num_op_var41_comer_ult3</t>
  </si>
  <si>
    <t>num_op_var41_efect_ult1</t>
  </si>
  <si>
    <t>num_op_var41_efect_ult3</t>
  </si>
  <si>
    <t>num_op_var39_efect_ult3</t>
  </si>
  <si>
    <t>num_reemb_var13_hace3</t>
  </si>
  <si>
    <t>num_reemb_var13_ult1</t>
  </si>
  <si>
    <t>num_reemb_var17_hace3</t>
  </si>
  <si>
    <t>num_reemb_var17_ult1</t>
  </si>
  <si>
    <t>num_reemb_var33_hace3</t>
  </si>
  <si>
    <t>num_reemb_var33_ult1</t>
  </si>
  <si>
    <t>num_sal_var16_ult1</t>
  </si>
  <si>
    <t>num_var43_emit_ult1</t>
  </si>
  <si>
    <t>num_var43_recib_ult1</t>
  </si>
  <si>
    <t>num_trasp_var11_ult1</t>
  </si>
  <si>
    <t>num_trasp_var17_in_hace3</t>
  </si>
  <si>
    <t>num_trasp_var17_in_ult1</t>
  </si>
  <si>
    <t>num_trasp_var17_out_hace3</t>
  </si>
  <si>
    <t>num_trasp_var17_out_ult1</t>
  </si>
  <si>
    <t>num_trasp_var33_in_hace3</t>
  </si>
  <si>
    <t>num_trasp_var33_in_ult1</t>
  </si>
  <si>
    <t>num_trasp_var33_out_hace3</t>
  </si>
  <si>
    <t>num_trasp_var33_out_ult1</t>
  </si>
  <si>
    <t>num_venta_var44_hace3</t>
  </si>
  <si>
    <t>num_venta_var44_ult1</t>
  </si>
  <si>
    <t>num_var45_hace2</t>
  </si>
  <si>
    <t>num_var45_hace3</t>
  </si>
  <si>
    <t>num_var45_ult1</t>
  </si>
  <si>
    <t>num_var45_ult3</t>
  </si>
  <si>
    <t>saldo_var2_ult1</t>
  </si>
  <si>
    <t>saldo_medio_var5_hace2</t>
  </si>
  <si>
    <t>saldo_medio_var5_hace3</t>
  </si>
  <si>
    <t>saldo_medio_var5_ult1</t>
  </si>
  <si>
    <t>saldo_medio_var5_ult3</t>
  </si>
  <si>
    <t>saldo_medio_var8_hace2</t>
  </si>
  <si>
    <t>saldo_medio_var8_hace3</t>
  </si>
  <si>
    <t>saldo_medio_var8_ult1</t>
  </si>
  <si>
    <t>saldo_medio_var8_ult3</t>
  </si>
  <si>
    <t>saldo_medio_var12_hace2</t>
  </si>
  <si>
    <t>saldo_medio_var12_hace3</t>
  </si>
  <si>
    <t>saldo_medio_var12_ult1</t>
  </si>
  <si>
    <t>saldo_medio_var12_ult3</t>
  </si>
  <si>
    <t>saldo_medio_var13_corto_hace2</t>
  </si>
  <si>
    <t>saldo_medio_var13_corto_hace3</t>
  </si>
  <si>
    <t>saldo_medio_var13_corto_ult1</t>
  </si>
  <si>
    <t>saldo_medio_var13_corto_ult3</t>
  </si>
  <si>
    <t>saldo_medio_var13_largo_hace2</t>
  </si>
  <si>
    <t>saldo_medio_var13_largo_hace3</t>
  </si>
  <si>
    <t>saldo_medio_var13_largo_ult1</t>
  </si>
  <si>
    <t>saldo_medio_var13_largo_ult3</t>
  </si>
  <si>
    <t>saldo_medio_var13_medio_hace2</t>
  </si>
  <si>
    <t>saldo_medio_var13_medio_hace3</t>
  </si>
  <si>
    <t>saldo_medio_var13_medio_ult1</t>
  </si>
  <si>
    <t>saldo_medio_var13_medio_ult3</t>
  </si>
  <si>
    <t>saldo_medio_var17_hace2</t>
  </si>
  <si>
    <t>saldo_medio_var17_hace3</t>
  </si>
  <si>
    <t>saldo_medio_var17_ult1</t>
  </si>
  <si>
    <t>saldo_medio_var17_ult3</t>
  </si>
  <si>
    <t>saldo_medio_var29_hace2</t>
  </si>
  <si>
    <t>saldo_medio_var29_hace3</t>
  </si>
  <si>
    <t>saldo_medio_var29_ult1</t>
  </si>
  <si>
    <t>saldo_medio_var29_ult3</t>
  </si>
  <si>
    <t>saldo_medio_var33_hace2</t>
  </si>
  <si>
    <t>saldo_medio_var33_hace3</t>
  </si>
  <si>
    <t>saldo_medio_var33_ult1</t>
  </si>
  <si>
    <t>saldo_medio_var33_ult3</t>
  </si>
  <si>
    <t>saldo_medio_var44_hace2</t>
  </si>
  <si>
    <t>saldo_medio_var44_hace3</t>
  </si>
  <si>
    <t>saldo_medio_var44_ult1</t>
  </si>
  <si>
    <t>saldo_medio_var44_ult3</t>
  </si>
  <si>
    <t>var38</t>
  </si>
  <si>
    <t>최근 1개월 특별 현금 거래 횟수</t>
    <phoneticPr fontId="1" type="noConversion"/>
  </si>
  <si>
    <t>최근 3개월 특별 현금 거래 총 횟수</t>
  </si>
  <si>
    <t>최근 1개월 온라인 거래 횟수</t>
  </si>
  <si>
    <t>최근 3개월 온라인 거래 총 횟수</t>
  </si>
  <si>
    <t>최근 1개월 모바일 거래 횟수</t>
  </si>
  <si>
    <t>최근 3개월 모바일 거래 총 횟수</t>
    <phoneticPr fontId="1" type="noConversion"/>
  </si>
  <si>
    <t>최근 1개월 현금 거래 횟수</t>
  </si>
  <si>
    <t>num_op_var39_efect_ult1</t>
    <phoneticPr fontId="1" type="noConversion"/>
  </si>
  <si>
    <t>최근 3개월 현금 거래 총 횟수</t>
    <phoneticPr fontId="1" type="noConversion"/>
  </si>
  <si>
    <t>3개월 전 상환 횟수</t>
  </si>
  <si>
    <t>최근 1개월 상환 횟수</t>
  </si>
  <si>
    <t>3개월 전 특정 상환 횟수</t>
  </si>
  <si>
    <t>최근 1개월 특정 상환 횟수</t>
    <phoneticPr fontId="1" type="noConversion"/>
  </si>
  <si>
    <t>3개월 전 대출 상환 횟수</t>
  </si>
  <si>
    <t>최근 1개월 대출 상환 횟수</t>
  </si>
  <si>
    <t>최근 1개월 출금 횟수</t>
  </si>
  <si>
    <t>최근 1개월 카드 발급 건수</t>
  </si>
  <si>
    <t>최근 1개월 카드 수령 건수</t>
  </si>
  <si>
    <t>최근 1개월 일반 이체 횟수</t>
    <phoneticPr fontId="1" type="noConversion"/>
  </si>
  <si>
    <t>3개월 전 이체 입금 횟수</t>
  </si>
  <si>
    <t>최근 1개월 이체 입금 횟수</t>
  </si>
  <si>
    <t>3개월 전 이체 출금 횟수</t>
  </si>
  <si>
    <t>최근 1개월 이체 출금 횟수</t>
  </si>
  <si>
    <t>3개월 전 정기 이체 입금 횟수</t>
  </si>
  <si>
    <t>최근 1개월 정기 이체 입금 횟수</t>
  </si>
  <si>
    <t>3개월 전 정기 이체 출금 횟수</t>
  </si>
  <si>
    <t>최근 1개월 정기 이체 출금 횟수</t>
  </si>
  <si>
    <t>3개월 전 판매 건수</t>
  </si>
  <si>
    <t>최근 1개월 판매 건수</t>
  </si>
  <si>
    <t>2개월 전 특정 거래 건수</t>
  </si>
  <si>
    <t>3개월 전 특정 거래 건수</t>
  </si>
  <si>
    <t>최근 1개월 특정 거래 건수</t>
  </si>
  <si>
    <t>최근 3개월 특정 거래 총 건수</t>
  </si>
  <si>
    <t>최근 1개월 특정 계좌 잔액</t>
  </si>
  <si>
    <t>2개월 전 주계좌 평균 잔액 (중요)</t>
  </si>
  <si>
    <t>3개월 전 주계좌 평균 잔액</t>
  </si>
  <si>
    <t>최근 1개월 주계좌 평균 잔액</t>
  </si>
  <si>
    <t>최근 3개월 주계좌 평균 잔액</t>
  </si>
  <si>
    <t>2개월 전 정기예금 평균 잔액</t>
  </si>
  <si>
    <t>3개월 전 정기예금 평균 잔액</t>
  </si>
  <si>
    <t>최근 1개월 정기예금 평균 잔액</t>
  </si>
  <si>
    <t>최근 3개월 정기예금 평균 잔액</t>
  </si>
  <si>
    <t>2개월 전 대출 평균 잔액</t>
  </si>
  <si>
    <t>3개월 전 대출 평균 잔액</t>
  </si>
  <si>
    <t>최근 1개월 대출 평균 잔액</t>
  </si>
  <si>
    <t>최근 3개월 대출 평균 잔액</t>
  </si>
  <si>
    <t>2개월 전 단기상품 평균 잔액</t>
  </si>
  <si>
    <t>3개월 전 단기상품 평균 잔액</t>
  </si>
  <si>
    <t>최근 1개월 단기상품 평균 잔액</t>
  </si>
  <si>
    <t>최근 3개월 단기상품 평균 잔액</t>
  </si>
  <si>
    <t>2개월 전 장기상품 평균 잔액</t>
  </si>
  <si>
    <t>3개월 전 장기상품 평균 잔액</t>
  </si>
  <si>
    <t>최근 1개월 장기상품 평균 잔액</t>
  </si>
  <si>
    <t>최근 3개월 장기상품 평균 잔액</t>
  </si>
  <si>
    <t>2개월 전 중기상품 평균 잔액</t>
  </si>
  <si>
    <t>3개월 전 중기상품 평균 잔액</t>
    <phoneticPr fontId="1" type="noConversion"/>
  </si>
  <si>
    <t>최근 1개월 중기상품 평균 잔액</t>
  </si>
  <si>
    <t>최근 3개월 중기상품 평균 잔액</t>
  </si>
  <si>
    <t>2개월 전 연금 평균 잔액</t>
  </si>
  <si>
    <t>3개월 전 연금 평균 잔액</t>
    <phoneticPr fontId="1" type="noConversion"/>
  </si>
  <si>
    <t>최근 1개월 연금 평균 잔액</t>
  </si>
  <si>
    <t>최근 3개월 연금 평균 잔액</t>
  </si>
  <si>
    <t>2개월 전 펀드 평균 잔액</t>
  </si>
  <si>
    <t>3개월 전 펀드 평균 잔액</t>
  </si>
  <si>
    <t>최근 1개월 펀드 평균 잔액</t>
  </si>
  <si>
    <t>최근 3개월 펀드 평균 잔액</t>
  </si>
  <si>
    <t>2개월 전 급여계좌 평균 잔액</t>
  </si>
  <si>
    <t>3개월 전 급여계좌 평균 잔액</t>
  </si>
  <si>
    <t>최근 1개월 급여계좌 평균 잔액</t>
  </si>
  <si>
    <t>최근 3개월 급여계좌 평균 잔액</t>
  </si>
  <si>
    <t>2개월 전 카드 평균 사용액</t>
  </si>
  <si>
    <t>3개월 전 카드 평균 사용액</t>
  </si>
  <si>
    <t>최근 1개월 카드 평균 사용액</t>
    <phoneticPr fontId="1" type="noConversion"/>
  </si>
  <si>
    <t>최근 3개월 카드 평균 사용액</t>
  </si>
  <si>
    <t>리스크 스코어 (117310.979016494 특수값이 불만족 고객의 강력한 시그널, 최상위 중요 변수)</t>
  </si>
  <si>
    <t>zero_count_rate</t>
  </si>
  <si>
    <t>99.95%</t>
  </si>
  <si>
    <t>99.94%</t>
  </si>
  <si>
    <t>87.12%</t>
  </si>
  <si>
    <t>84.82%</t>
  </si>
  <si>
    <t>91.21%</t>
  </si>
  <si>
    <t>88.62%</t>
  </si>
  <si>
    <t>91.19%</t>
  </si>
  <si>
    <t>88.61%</t>
  </si>
  <si>
    <t>100.00%</t>
  </si>
  <si>
    <t>99.97%</t>
  </si>
  <si>
    <t>99.87%</t>
  </si>
  <si>
    <t>93.34%</t>
  </si>
  <si>
    <t>87.07%</t>
  </si>
  <si>
    <t>97.85%</t>
  </si>
  <si>
    <t>99.99%</t>
  </si>
  <si>
    <t>64.30%</t>
  </si>
  <si>
    <t>66.64%</t>
  </si>
  <si>
    <t>71.55%</t>
  </si>
  <si>
    <t>50.46%</t>
  </si>
  <si>
    <t>30.57%</t>
  </si>
  <si>
    <t>38.99%</t>
  </si>
  <si>
    <t>32.44%</t>
  </si>
  <si>
    <t>98.17%</t>
  </si>
  <si>
    <t>99.36%</t>
  </si>
  <si>
    <t>97.11%</t>
  </si>
  <si>
    <t>96.06%</t>
  </si>
  <si>
    <t>98.31%</t>
  </si>
  <si>
    <t>95.43%</t>
  </si>
  <si>
    <t>96.09%</t>
  </si>
  <si>
    <t>98.21%</t>
  </si>
  <si>
    <t>95.81%</t>
  </si>
  <si>
    <t>99.61%</t>
  </si>
  <si>
    <t>99.29%</t>
  </si>
  <si>
    <t>99.88%</t>
  </si>
  <si>
    <t>99.98%</t>
  </si>
  <si>
    <t>99.84%</t>
  </si>
  <si>
    <t>99.96%</t>
  </si>
  <si>
    <t>99.81%</t>
  </si>
  <si>
    <t>0.00%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</si>
</sst>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i/>
      <sz val="11"/>
      <color rgb="FF000000"/>
      <name val="Arial"/>
      <family val="2"/>
      <charset val="1"/>
    </font>
    <font>
      <b/>
      <sz val="11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readingOrder="1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5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top"/>
    </xf>
    <xf numFmtId="0" fontId="0" fillId="0" borderId="0" xfId="0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441CA-1FE7-430E-9B5F-0FC91F64A1BD}">
  <dimension ref="A1:K76"/>
  <sheetViews>
    <sheetView tabSelected="1" workbookViewId="0">
      <selection activeCell="H7" sqref="H7"/>
    </sheetView>
  </sheetViews>
  <sheetFormatPr defaultRowHeight="16.5" x14ac:dyDescent="0.3"/>
  <cols>
    <col min="1" max="1" width="29.625" customWidth="1"/>
    <col min="2" max="2" width="14.5" customWidth="1"/>
    <col min="3" max="3" width="42.625" customWidth="1"/>
    <col min="4" max="4" width="16.125" bestFit="1" customWidth="1"/>
    <col min="5" max="5" width="14.625" style="1" customWidth="1"/>
    <col min="6" max="6" width="21.375" style="1" customWidth="1"/>
    <col min="10" max="10" width="12.875" bestFit="1" customWidth="1"/>
  </cols>
  <sheetData>
    <row r="1" spans="1:11" x14ac:dyDescent="0.3">
      <c r="A1" t="s">
        <v>0</v>
      </c>
      <c r="B1" s="1" t="s">
        <v>1</v>
      </c>
      <c r="C1" s="1" t="s">
        <v>2</v>
      </c>
      <c r="D1" s="8" t="s">
        <v>164</v>
      </c>
      <c r="E1" s="1" t="s">
        <v>3</v>
      </c>
      <c r="F1" s="1" t="s">
        <v>4</v>
      </c>
      <c r="H1" s="1" t="s">
        <v>5</v>
      </c>
      <c r="J1" s="2" t="s">
        <v>6</v>
      </c>
      <c r="K1" s="3" t="s">
        <v>7</v>
      </c>
    </row>
    <row r="2" spans="1:11" x14ac:dyDescent="0.3">
      <c r="A2" t="s">
        <v>8</v>
      </c>
      <c r="B2" s="7" t="s">
        <v>9</v>
      </c>
      <c r="C2" t="s">
        <v>89</v>
      </c>
      <c r="D2" s="9" t="s">
        <v>165</v>
      </c>
      <c r="E2" s="1" t="str">
        <f>IF(VALUE(SUBSTITUTE(D2,"%",""))&gt;=99,"Y","N")</f>
        <v>Y</v>
      </c>
      <c r="H2" s="1">
        <f>COUNTIF(E2:E75,"=Y")</f>
        <v>45</v>
      </c>
      <c r="J2" s="2" t="s">
        <v>10</v>
      </c>
      <c r="K2" s="4" t="s">
        <v>11</v>
      </c>
    </row>
    <row r="3" spans="1:11" x14ac:dyDescent="0.3">
      <c r="A3" t="s">
        <v>12</v>
      </c>
      <c r="B3" s="7"/>
      <c r="C3" t="s">
        <v>90</v>
      </c>
      <c r="D3" s="9" t="s">
        <v>166</v>
      </c>
      <c r="E3" s="1" t="str">
        <f t="shared" ref="E3:E66" si="0">IF(VALUE(SUBSTITUTE(D3,"%",""))&gt;=99,"Y","N")</f>
        <v>Y</v>
      </c>
      <c r="H3" s="1" t="s">
        <v>13</v>
      </c>
      <c r="J3" s="2" t="s">
        <v>14</v>
      </c>
      <c r="K3" s="4" t="s">
        <v>15</v>
      </c>
    </row>
    <row r="4" spans="1:11" x14ac:dyDescent="0.3">
      <c r="A4" t="s">
        <v>16</v>
      </c>
      <c r="B4" s="7"/>
      <c r="C4" t="s">
        <v>91</v>
      </c>
      <c r="D4" s="9" t="s">
        <v>167</v>
      </c>
      <c r="E4" s="1" t="str">
        <f t="shared" si="0"/>
        <v>N</v>
      </c>
      <c r="H4" s="1"/>
      <c r="J4" s="2" t="s">
        <v>17</v>
      </c>
      <c r="K4" s="4" t="s">
        <v>18</v>
      </c>
    </row>
    <row r="5" spans="1:11" x14ac:dyDescent="0.3">
      <c r="A5" t="s">
        <v>19</v>
      </c>
      <c r="B5" s="7"/>
      <c r="C5" t="s">
        <v>92</v>
      </c>
      <c r="D5" s="9" t="s">
        <v>168</v>
      </c>
      <c r="E5" s="1" t="str">
        <f t="shared" si="0"/>
        <v>N</v>
      </c>
    </row>
    <row r="6" spans="1:11" x14ac:dyDescent="0.3">
      <c r="A6" t="s">
        <v>20</v>
      </c>
      <c r="B6" s="7"/>
      <c r="C6" t="s">
        <v>93</v>
      </c>
      <c r="D6" s="9" t="s">
        <v>169</v>
      </c>
      <c r="E6" s="1" t="str">
        <f t="shared" si="0"/>
        <v>N</v>
      </c>
    </row>
    <row r="7" spans="1:11" x14ac:dyDescent="0.3">
      <c r="A7" t="s">
        <v>21</v>
      </c>
      <c r="B7" s="7"/>
      <c r="C7" t="s">
        <v>94</v>
      </c>
      <c r="D7" s="9" t="s">
        <v>170</v>
      </c>
      <c r="E7" s="1" t="str">
        <f t="shared" si="0"/>
        <v>N</v>
      </c>
    </row>
    <row r="8" spans="1:11" x14ac:dyDescent="0.3">
      <c r="A8" t="s">
        <v>96</v>
      </c>
      <c r="B8" s="7"/>
      <c r="C8" t="s">
        <v>95</v>
      </c>
      <c r="D8" s="9" t="s">
        <v>171</v>
      </c>
      <c r="E8" s="1" t="str">
        <f t="shared" si="0"/>
        <v>N</v>
      </c>
    </row>
    <row r="9" spans="1:11" x14ac:dyDescent="0.3">
      <c r="A9" t="s">
        <v>22</v>
      </c>
      <c r="B9" s="7"/>
      <c r="C9" t="s">
        <v>97</v>
      </c>
      <c r="D9" s="9" t="s">
        <v>172</v>
      </c>
      <c r="E9" s="1" t="str">
        <f t="shared" si="0"/>
        <v>N</v>
      </c>
    </row>
    <row r="10" spans="1:11" x14ac:dyDescent="0.3">
      <c r="A10" t="s">
        <v>23</v>
      </c>
      <c r="B10" s="7"/>
      <c r="C10" t="s">
        <v>98</v>
      </c>
      <c r="D10" s="9" t="s">
        <v>173</v>
      </c>
      <c r="E10" s="1" t="str">
        <f t="shared" si="0"/>
        <v>Y</v>
      </c>
    </row>
    <row r="11" spans="1:11" x14ac:dyDescent="0.3">
      <c r="A11" t="s">
        <v>24</v>
      </c>
      <c r="B11" s="7"/>
      <c r="C11" t="s">
        <v>99</v>
      </c>
      <c r="D11" s="9" t="s">
        <v>165</v>
      </c>
      <c r="E11" s="1" t="str">
        <f t="shared" si="0"/>
        <v>Y</v>
      </c>
    </row>
    <row r="12" spans="1:11" x14ac:dyDescent="0.3">
      <c r="A12" t="s">
        <v>25</v>
      </c>
      <c r="B12" s="7"/>
      <c r="C12" t="s">
        <v>100</v>
      </c>
      <c r="D12" s="9" t="s">
        <v>173</v>
      </c>
      <c r="E12" s="1" t="str">
        <f t="shared" si="0"/>
        <v>Y</v>
      </c>
    </row>
    <row r="13" spans="1:11" x14ac:dyDescent="0.3">
      <c r="A13" t="s">
        <v>26</v>
      </c>
      <c r="B13" s="7"/>
      <c r="C13" t="s">
        <v>101</v>
      </c>
      <c r="D13" s="9" t="s">
        <v>174</v>
      </c>
      <c r="E13" s="1" t="str">
        <f t="shared" si="0"/>
        <v>Y</v>
      </c>
    </row>
    <row r="14" spans="1:11" x14ac:dyDescent="0.3">
      <c r="A14" t="s">
        <v>27</v>
      </c>
      <c r="B14" s="7"/>
      <c r="C14" t="s">
        <v>102</v>
      </c>
      <c r="D14" s="9" t="s">
        <v>173</v>
      </c>
      <c r="E14" s="1" t="str">
        <f t="shared" si="0"/>
        <v>Y</v>
      </c>
    </row>
    <row r="15" spans="1:11" x14ac:dyDescent="0.3">
      <c r="A15" t="s">
        <v>28</v>
      </c>
      <c r="B15" s="7"/>
      <c r="C15" t="s">
        <v>103</v>
      </c>
      <c r="D15" s="9" t="s">
        <v>173</v>
      </c>
      <c r="E15" s="1" t="str">
        <f t="shared" si="0"/>
        <v>Y</v>
      </c>
    </row>
    <row r="16" spans="1:11" x14ac:dyDescent="0.3">
      <c r="A16" t="s">
        <v>29</v>
      </c>
      <c r="B16" s="7"/>
      <c r="C16" t="s">
        <v>104</v>
      </c>
      <c r="D16" s="9" t="s">
        <v>175</v>
      </c>
      <c r="E16" s="1" t="str">
        <f t="shared" si="0"/>
        <v>Y</v>
      </c>
    </row>
    <row r="17" spans="1:5" x14ac:dyDescent="0.3">
      <c r="A17" t="s">
        <v>30</v>
      </c>
      <c r="B17" s="7"/>
      <c r="C17" t="s">
        <v>105</v>
      </c>
      <c r="D17" s="9" t="s">
        <v>176</v>
      </c>
      <c r="E17" s="1" t="str">
        <f t="shared" si="0"/>
        <v>N</v>
      </c>
    </row>
    <row r="18" spans="1:5" x14ac:dyDescent="0.3">
      <c r="A18" t="s">
        <v>31</v>
      </c>
      <c r="B18" s="7"/>
      <c r="C18" t="s">
        <v>106</v>
      </c>
      <c r="D18" s="9" t="s">
        <v>177</v>
      </c>
      <c r="E18" s="1" t="str">
        <f t="shared" si="0"/>
        <v>N</v>
      </c>
    </row>
    <row r="19" spans="1:5" x14ac:dyDescent="0.3">
      <c r="A19" t="s">
        <v>32</v>
      </c>
      <c r="B19" s="7"/>
      <c r="C19" t="s">
        <v>107</v>
      </c>
      <c r="D19" s="9" t="s">
        <v>178</v>
      </c>
      <c r="E19" s="1" t="str">
        <f t="shared" si="0"/>
        <v>N</v>
      </c>
    </row>
    <row r="20" spans="1:5" x14ac:dyDescent="0.3">
      <c r="A20" t="s">
        <v>33</v>
      </c>
      <c r="B20" s="7"/>
      <c r="C20" t="s">
        <v>108</v>
      </c>
      <c r="D20" s="9" t="s">
        <v>173</v>
      </c>
      <c r="E20" s="1" t="str">
        <f t="shared" si="0"/>
        <v>Y</v>
      </c>
    </row>
    <row r="21" spans="1:5" x14ac:dyDescent="0.3">
      <c r="A21" t="s">
        <v>34</v>
      </c>
      <c r="B21" s="7"/>
      <c r="C21" t="s">
        <v>109</v>
      </c>
      <c r="D21" s="9" t="s">
        <v>179</v>
      </c>
      <c r="E21" s="1" t="str">
        <f t="shared" si="0"/>
        <v>Y</v>
      </c>
    </row>
    <row r="22" spans="1:5" x14ac:dyDescent="0.3">
      <c r="A22" t="s">
        <v>35</v>
      </c>
      <c r="B22" s="7"/>
      <c r="C22" t="s">
        <v>110</v>
      </c>
      <c r="D22" s="9" t="s">
        <v>173</v>
      </c>
      <c r="E22" s="1" t="str">
        <f t="shared" si="0"/>
        <v>Y</v>
      </c>
    </row>
    <row r="23" spans="1:5" x14ac:dyDescent="0.3">
      <c r="A23" t="s">
        <v>36</v>
      </c>
      <c r="B23" s="7"/>
      <c r="C23" t="s">
        <v>111</v>
      </c>
      <c r="D23" s="9" t="s">
        <v>179</v>
      </c>
      <c r="E23" s="1" t="str">
        <f t="shared" si="0"/>
        <v>Y</v>
      </c>
    </row>
    <row r="24" spans="1:5" x14ac:dyDescent="0.3">
      <c r="A24" t="s">
        <v>37</v>
      </c>
      <c r="B24" s="7"/>
      <c r="C24" t="s">
        <v>112</v>
      </c>
      <c r="D24" s="9" t="s">
        <v>179</v>
      </c>
      <c r="E24" s="1" t="str">
        <f t="shared" si="0"/>
        <v>Y</v>
      </c>
    </row>
    <row r="25" spans="1:5" x14ac:dyDescent="0.3">
      <c r="A25" t="s">
        <v>38</v>
      </c>
      <c r="B25" s="7"/>
      <c r="C25" t="s">
        <v>113</v>
      </c>
      <c r="D25" s="9" t="s">
        <v>179</v>
      </c>
      <c r="E25" s="1" t="str">
        <f t="shared" si="0"/>
        <v>Y</v>
      </c>
    </row>
    <row r="26" spans="1:5" x14ac:dyDescent="0.3">
      <c r="A26" t="s">
        <v>39</v>
      </c>
      <c r="B26" s="7"/>
      <c r="C26" t="s">
        <v>114</v>
      </c>
      <c r="D26" s="9" t="s">
        <v>173</v>
      </c>
      <c r="E26" s="1" t="str">
        <f t="shared" si="0"/>
        <v>Y</v>
      </c>
    </row>
    <row r="27" spans="1:5" x14ac:dyDescent="0.3">
      <c r="A27" t="s">
        <v>40</v>
      </c>
      <c r="B27" s="7"/>
      <c r="C27" t="s">
        <v>115</v>
      </c>
      <c r="D27" s="9" t="s">
        <v>173</v>
      </c>
      <c r="E27" s="1" t="str">
        <f t="shared" si="0"/>
        <v>Y</v>
      </c>
    </row>
    <row r="28" spans="1:5" x14ac:dyDescent="0.3">
      <c r="A28" t="s">
        <v>41</v>
      </c>
      <c r="B28" s="7"/>
      <c r="C28" t="s">
        <v>116</v>
      </c>
      <c r="D28" s="9" t="s">
        <v>173</v>
      </c>
      <c r="E28" s="1" t="str">
        <f t="shared" si="0"/>
        <v>Y</v>
      </c>
    </row>
    <row r="29" spans="1:5" x14ac:dyDescent="0.3">
      <c r="A29" t="s">
        <v>42</v>
      </c>
      <c r="B29" s="7"/>
      <c r="C29" t="s">
        <v>117</v>
      </c>
      <c r="D29" s="9" t="s">
        <v>166</v>
      </c>
      <c r="E29" s="1" t="str">
        <f t="shared" si="0"/>
        <v>Y</v>
      </c>
    </row>
    <row r="30" spans="1:5" x14ac:dyDescent="0.3">
      <c r="A30" t="s">
        <v>43</v>
      </c>
      <c r="B30" s="7"/>
      <c r="C30" t="s">
        <v>118</v>
      </c>
      <c r="D30" s="9" t="s">
        <v>180</v>
      </c>
      <c r="E30" s="1" t="str">
        <f t="shared" si="0"/>
        <v>N</v>
      </c>
    </row>
    <row r="31" spans="1:5" x14ac:dyDescent="0.3">
      <c r="A31" t="s">
        <v>44</v>
      </c>
      <c r="B31" s="7"/>
      <c r="C31" t="s">
        <v>119</v>
      </c>
      <c r="D31" s="9" t="s">
        <v>181</v>
      </c>
      <c r="E31" s="1" t="str">
        <f t="shared" si="0"/>
        <v>N</v>
      </c>
    </row>
    <row r="32" spans="1:5" x14ac:dyDescent="0.3">
      <c r="A32" t="s">
        <v>45</v>
      </c>
      <c r="B32" s="7"/>
      <c r="C32" t="s">
        <v>120</v>
      </c>
      <c r="D32" s="9" t="s">
        <v>182</v>
      </c>
      <c r="E32" s="1" t="str">
        <f t="shared" si="0"/>
        <v>N</v>
      </c>
    </row>
    <row r="33" spans="1:5" x14ac:dyDescent="0.3">
      <c r="A33" t="s">
        <v>46</v>
      </c>
      <c r="B33" s="7"/>
      <c r="C33" t="s">
        <v>121</v>
      </c>
      <c r="D33" s="9" t="s">
        <v>183</v>
      </c>
      <c r="E33" s="1" t="str">
        <f t="shared" si="0"/>
        <v>N</v>
      </c>
    </row>
    <row r="34" spans="1:5" x14ac:dyDescent="0.3">
      <c r="A34" t="s">
        <v>47</v>
      </c>
      <c r="B34" s="7"/>
      <c r="C34" t="s">
        <v>122</v>
      </c>
      <c r="D34" s="9" t="s">
        <v>173</v>
      </c>
      <c r="E34" s="1" t="str">
        <f t="shared" si="0"/>
        <v>Y</v>
      </c>
    </row>
    <row r="35" spans="1:5" x14ac:dyDescent="0.3">
      <c r="A35" s="5" t="s">
        <v>48</v>
      </c>
      <c r="B35" s="7"/>
      <c r="C35" s="5" t="s">
        <v>123</v>
      </c>
      <c r="D35" s="9" t="s">
        <v>184</v>
      </c>
      <c r="E35" s="1" t="str">
        <f t="shared" si="0"/>
        <v>N</v>
      </c>
    </row>
    <row r="36" spans="1:5" x14ac:dyDescent="0.3">
      <c r="A36" t="s">
        <v>49</v>
      </c>
      <c r="B36" s="7"/>
      <c r="C36" t="s">
        <v>124</v>
      </c>
      <c r="D36" s="9" t="s">
        <v>185</v>
      </c>
      <c r="E36" s="1" t="str">
        <f t="shared" si="0"/>
        <v>N</v>
      </c>
    </row>
    <row r="37" spans="1:5" x14ac:dyDescent="0.3">
      <c r="A37" t="s">
        <v>50</v>
      </c>
      <c r="B37" s="7"/>
      <c r="C37" t="s">
        <v>125</v>
      </c>
      <c r="D37" s="9" t="s">
        <v>186</v>
      </c>
      <c r="E37" s="1" t="str">
        <f t="shared" si="0"/>
        <v>N</v>
      </c>
    </row>
    <row r="38" spans="1:5" x14ac:dyDescent="0.3">
      <c r="A38" t="s">
        <v>51</v>
      </c>
      <c r="B38" s="7"/>
      <c r="C38" t="s">
        <v>126</v>
      </c>
      <c r="D38" s="9" t="s">
        <v>186</v>
      </c>
      <c r="E38" s="1" t="str">
        <f t="shared" si="0"/>
        <v>N</v>
      </c>
    </row>
    <row r="39" spans="1:5" x14ac:dyDescent="0.3">
      <c r="A39" t="s">
        <v>52</v>
      </c>
      <c r="B39" s="7"/>
      <c r="C39" t="s">
        <v>127</v>
      </c>
      <c r="D39" s="9" t="s">
        <v>187</v>
      </c>
      <c r="E39" s="1" t="str">
        <f t="shared" si="0"/>
        <v>N</v>
      </c>
    </row>
    <row r="40" spans="1:5" x14ac:dyDescent="0.3">
      <c r="A40" t="s">
        <v>53</v>
      </c>
      <c r="B40" s="7"/>
      <c r="C40" t="s">
        <v>128</v>
      </c>
      <c r="D40" s="9" t="s">
        <v>188</v>
      </c>
      <c r="E40" s="1" t="str">
        <f t="shared" si="0"/>
        <v>Y</v>
      </c>
    </row>
    <row r="41" spans="1:5" x14ac:dyDescent="0.3">
      <c r="A41" t="s">
        <v>54</v>
      </c>
      <c r="B41" s="7"/>
      <c r="C41" t="s">
        <v>129</v>
      </c>
      <c r="D41" s="9" t="s">
        <v>189</v>
      </c>
      <c r="E41" s="1" t="str">
        <f t="shared" si="0"/>
        <v>N</v>
      </c>
    </row>
    <row r="42" spans="1:5" x14ac:dyDescent="0.3">
      <c r="A42" t="s">
        <v>55</v>
      </c>
      <c r="B42" s="7"/>
      <c r="C42" t="s">
        <v>130</v>
      </c>
      <c r="D42" s="9" t="s">
        <v>189</v>
      </c>
      <c r="E42" s="1" t="str">
        <f t="shared" si="0"/>
        <v>N</v>
      </c>
    </row>
    <row r="43" spans="1:5" x14ac:dyDescent="0.3">
      <c r="A43" t="s">
        <v>56</v>
      </c>
      <c r="B43" s="7"/>
      <c r="C43" t="s">
        <v>131</v>
      </c>
      <c r="D43" s="9" t="s">
        <v>190</v>
      </c>
      <c r="E43" s="1" t="str">
        <f t="shared" si="0"/>
        <v>N</v>
      </c>
    </row>
    <row r="44" spans="1:5" x14ac:dyDescent="0.3">
      <c r="A44" t="s">
        <v>57</v>
      </c>
      <c r="B44" s="7"/>
      <c r="C44" t="s">
        <v>132</v>
      </c>
      <c r="D44" s="9" t="s">
        <v>191</v>
      </c>
      <c r="E44" s="1" t="str">
        <f t="shared" si="0"/>
        <v>N</v>
      </c>
    </row>
    <row r="45" spans="1:5" x14ac:dyDescent="0.3">
      <c r="A45" t="s">
        <v>58</v>
      </c>
      <c r="B45" s="7"/>
      <c r="C45" t="s">
        <v>133</v>
      </c>
      <c r="D45" s="9" t="s">
        <v>192</v>
      </c>
      <c r="E45" s="1" t="str">
        <f t="shared" si="0"/>
        <v>N</v>
      </c>
    </row>
    <row r="46" spans="1:5" x14ac:dyDescent="0.3">
      <c r="A46" t="s">
        <v>59</v>
      </c>
      <c r="B46" s="7"/>
      <c r="C46" t="s">
        <v>134</v>
      </c>
      <c r="D46" s="9" t="s">
        <v>192</v>
      </c>
      <c r="E46" s="1" t="str">
        <f t="shared" si="0"/>
        <v>N</v>
      </c>
    </row>
    <row r="47" spans="1:5" x14ac:dyDescent="0.3">
      <c r="A47" t="s">
        <v>60</v>
      </c>
      <c r="B47" s="7"/>
      <c r="C47" t="s">
        <v>135</v>
      </c>
      <c r="D47" s="9" t="s">
        <v>193</v>
      </c>
      <c r="E47" s="1" t="str">
        <f t="shared" si="0"/>
        <v>N</v>
      </c>
    </row>
    <row r="48" spans="1:5" x14ac:dyDescent="0.3">
      <c r="A48" t="s">
        <v>61</v>
      </c>
      <c r="B48" s="7"/>
      <c r="C48" t="s">
        <v>136</v>
      </c>
      <c r="D48" s="9" t="s">
        <v>194</v>
      </c>
      <c r="E48" s="1" t="str">
        <f t="shared" si="0"/>
        <v>N</v>
      </c>
    </row>
    <row r="49" spans="1:5" x14ac:dyDescent="0.3">
      <c r="A49" t="s">
        <v>62</v>
      </c>
      <c r="B49" s="7"/>
      <c r="C49" t="s">
        <v>137</v>
      </c>
      <c r="D49" s="9" t="s">
        <v>195</v>
      </c>
      <c r="E49" s="1" t="str">
        <f t="shared" si="0"/>
        <v>N</v>
      </c>
    </row>
    <row r="50" spans="1:5" x14ac:dyDescent="0.3">
      <c r="A50" t="s">
        <v>63</v>
      </c>
      <c r="B50" s="7"/>
      <c r="C50" t="s">
        <v>138</v>
      </c>
      <c r="D50" s="9" t="s">
        <v>195</v>
      </c>
      <c r="E50" s="1" t="str">
        <f t="shared" si="0"/>
        <v>N</v>
      </c>
    </row>
    <row r="51" spans="1:5" x14ac:dyDescent="0.3">
      <c r="A51" t="s">
        <v>64</v>
      </c>
      <c r="B51" s="7"/>
      <c r="C51" t="s">
        <v>139</v>
      </c>
      <c r="D51" s="9" t="s">
        <v>188</v>
      </c>
      <c r="E51" s="1" t="str">
        <f t="shared" si="0"/>
        <v>Y</v>
      </c>
    </row>
    <row r="52" spans="1:5" x14ac:dyDescent="0.3">
      <c r="A52" t="s">
        <v>65</v>
      </c>
      <c r="B52" s="7"/>
      <c r="C52" t="s">
        <v>140</v>
      </c>
      <c r="D52" s="9" t="s">
        <v>196</v>
      </c>
      <c r="E52" s="1" t="str">
        <f t="shared" si="0"/>
        <v>Y</v>
      </c>
    </row>
    <row r="53" spans="1:5" x14ac:dyDescent="0.3">
      <c r="A53" t="s">
        <v>66</v>
      </c>
      <c r="B53" s="7"/>
      <c r="C53" t="s">
        <v>141</v>
      </c>
      <c r="D53" s="9" t="s">
        <v>197</v>
      </c>
      <c r="E53" s="1" t="str">
        <f t="shared" si="0"/>
        <v>Y</v>
      </c>
    </row>
    <row r="54" spans="1:5" x14ac:dyDescent="0.3">
      <c r="A54" t="s">
        <v>67</v>
      </c>
      <c r="B54" s="7"/>
      <c r="C54" t="s">
        <v>142</v>
      </c>
      <c r="D54" s="9" t="s">
        <v>197</v>
      </c>
      <c r="E54" s="1" t="str">
        <f t="shared" si="0"/>
        <v>Y</v>
      </c>
    </row>
    <row r="55" spans="1:5" x14ac:dyDescent="0.3">
      <c r="A55" t="s">
        <v>68</v>
      </c>
      <c r="B55" s="7"/>
      <c r="C55" t="s">
        <v>143</v>
      </c>
      <c r="D55" s="9" t="s">
        <v>173</v>
      </c>
      <c r="E55" s="1" t="str">
        <f t="shared" si="0"/>
        <v>Y</v>
      </c>
    </row>
    <row r="56" spans="1:5" x14ac:dyDescent="0.3">
      <c r="A56" t="s">
        <v>69</v>
      </c>
      <c r="B56" s="7"/>
      <c r="C56" t="s">
        <v>144</v>
      </c>
      <c r="D56" s="9" t="s">
        <v>173</v>
      </c>
      <c r="E56" s="1" t="str">
        <f t="shared" si="0"/>
        <v>Y</v>
      </c>
    </row>
    <row r="57" spans="1:5" x14ac:dyDescent="0.3">
      <c r="A57" t="s">
        <v>70</v>
      </c>
      <c r="B57" s="7"/>
      <c r="C57" t="s">
        <v>145</v>
      </c>
      <c r="D57" s="9" t="s">
        <v>173</v>
      </c>
      <c r="E57" s="1" t="str">
        <f t="shared" si="0"/>
        <v>Y</v>
      </c>
    </row>
    <row r="58" spans="1:5" x14ac:dyDescent="0.3">
      <c r="A58" t="s">
        <v>71</v>
      </c>
      <c r="B58" s="7"/>
      <c r="C58" t="s">
        <v>146</v>
      </c>
      <c r="D58" s="9" t="s">
        <v>173</v>
      </c>
      <c r="E58" s="1" t="str">
        <f t="shared" si="0"/>
        <v>Y</v>
      </c>
    </row>
    <row r="59" spans="1:5" x14ac:dyDescent="0.3">
      <c r="A59" t="s">
        <v>72</v>
      </c>
      <c r="B59" s="7"/>
      <c r="C59" t="s">
        <v>147</v>
      </c>
      <c r="D59" s="9" t="s">
        <v>198</v>
      </c>
      <c r="E59" s="1" t="str">
        <f t="shared" si="0"/>
        <v>Y</v>
      </c>
    </row>
    <row r="60" spans="1:5" x14ac:dyDescent="0.3">
      <c r="A60" t="s">
        <v>73</v>
      </c>
      <c r="B60" s="7"/>
      <c r="C60" t="s">
        <v>148</v>
      </c>
      <c r="D60" s="9" t="s">
        <v>199</v>
      </c>
      <c r="E60" s="1" t="str">
        <f t="shared" si="0"/>
        <v>Y</v>
      </c>
    </row>
    <row r="61" spans="1:5" x14ac:dyDescent="0.3">
      <c r="A61" t="s">
        <v>74</v>
      </c>
      <c r="B61" s="7"/>
      <c r="C61" t="s">
        <v>149</v>
      </c>
      <c r="D61" s="9" t="s">
        <v>200</v>
      </c>
      <c r="E61" s="1" t="str">
        <f t="shared" si="0"/>
        <v>Y</v>
      </c>
    </row>
    <row r="62" spans="1:5" x14ac:dyDescent="0.3">
      <c r="A62" t="s">
        <v>75</v>
      </c>
      <c r="B62" s="7"/>
      <c r="C62" t="s">
        <v>150</v>
      </c>
      <c r="D62" s="9" t="s">
        <v>200</v>
      </c>
      <c r="E62" s="1" t="str">
        <f t="shared" si="0"/>
        <v>Y</v>
      </c>
    </row>
    <row r="63" spans="1:5" x14ac:dyDescent="0.3">
      <c r="A63" t="s">
        <v>76</v>
      </c>
      <c r="B63" s="7"/>
      <c r="C63" t="s">
        <v>151</v>
      </c>
      <c r="D63" s="9" t="s">
        <v>179</v>
      </c>
      <c r="E63" s="1" t="str">
        <f t="shared" si="0"/>
        <v>Y</v>
      </c>
    </row>
    <row r="64" spans="1:5" x14ac:dyDescent="0.3">
      <c r="A64" t="s">
        <v>77</v>
      </c>
      <c r="B64" s="7"/>
      <c r="C64" t="s">
        <v>152</v>
      </c>
      <c r="D64" s="9" t="s">
        <v>173</v>
      </c>
      <c r="E64" s="1" t="str">
        <f t="shared" si="0"/>
        <v>Y</v>
      </c>
    </row>
    <row r="65" spans="1:5" x14ac:dyDescent="0.3">
      <c r="A65" t="s">
        <v>78</v>
      </c>
      <c r="B65" s="7"/>
      <c r="C65" t="s">
        <v>153</v>
      </c>
      <c r="D65" s="9" t="s">
        <v>173</v>
      </c>
      <c r="E65" s="1" t="str">
        <f t="shared" si="0"/>
        <v>Y</v>
      </c>
    </row>
    <row r="66" spans="1:5" x14ac:dyDescent="0.3">
      <c r="A66" t="s">
        <v>79</v>
      </c>
      <c r="B66" s="7"/>
      <c r="C66" t="s">
        <v>154</v>
      </c>
      <c r="D66" s="9" t="s">
        <v>173</v>
      </c>
      <c r="E66" s="1" t="str">
        <f t="shared" si="0"/>
        <v>Y</v>
      </c>
    </row>
    <row r="67" spans="1:5" x14ac:dyDescent="0.3">
      <c r="A67" t="s">
        <v>80</v>
      </c>
      <c r="B67" s="7"/>
      <c r="C67" t="s">
        <v>155</v>
      </c>
      <c r="D67" s="9" t="s">
        <v>166</v>
      </c>
      <c r="E67" s="1" t="str">
        <f t="shared" ref="E67:E75" si="1">IF(VALUE(SUBSTITUTE(D67,"%",""))&gt;=99,"Y","N")</f>
        <v>Y</v>
      </c>
    </row>
    <row r="68" spans="1:5" x14ac:dyDescent="0.3">
      <c r="A68" t="s">
        <v>81</v>
      </c>
      <c r="B68" s="7"/>
      <c r="C68" t="s">
        <v>156</v>
      </c>
      <c r="D68" s="9" t="s">
        <v>174</v>
      </c>
      <c r="E68" s="1" t="str">
        <f t="shared" si="1"/>
        <v>Y</v>
      </c>
    </row>
    <row r="69" spans="1:5" x14ac:dyDescent="0.3">
      <c r="A69" t="s">
        <v>82</v>
      </c>
      <c r="B69" s="7"/>
      <c r="C69" t="s">
        <v>157</v>
      </c>
      <c r="D69" s="9" t="s">
        <v>166</v>
      </c>
      <c r="E69" s="1" t="str">
        <f t="shared" si="1"/>
        <v>Y</v>
      </c>
    </row>
    <row r="70" spans="1:5" x14ac:dyDescent="0.3">
      <c r="A70" t="s">
        <v>83</v>
      </c>
      <c r="B70" s="7"/>
      <c r="C70" t="s">
        <v>158</v>
      </c>
      <c r="D70" s="9" t="s">
        <v>166</v>
      </c>
      <c r="E70" s="1" t="str">
        <f t="shared" si="1"/>
        <v>Y</v>
      </c>
    </row>
    <row r="71" spans="1:5" x14ac:dyDescent="0.3">
      <c r="A71" t="s">
        <v>84</v>
      </c>
      <c r="B71" s="7"/>
      <c r="C71" t="s">
        <v>159</v>
      </c>
      <c r="D71" s="9" t="s">
        <v>175</v>
      </c>
      <c r="E71" s="1" t="str">
        <f t="shared" si="1"/>
        <v>Y</v>
      </c>
    </row>
    <row r="72" spans="1:5" x14ac:dyDescent="0.3">
      <c r="A72" t="s">
        <v>85</v>
      </c>
      <c r="B72" s="7"/>
      <c r="C72" t="s">
        <v>160</v>
      </c>
      <c r="D72" s="9" t="s">
        <v>201</v>
      </c>
      <c r="E72" s="1" t="str">
        <f t="shared" si="1"/>
        <v>Y</v>
      </c>
    </row>
    <row r="73" spans="1:5" x14ac:dyDescent="0.3">
      <c r="A73" t="s">
        <v>86</v>
      </c>
      <c r="B73" s="7"/>
      <c r="C73" t="s">
        <v>161</v>
      </c>
      <c r="D73" s="9" t="s">
        <v>202</v>
      </c>
      <c r="E73" s="1" t="str">
        <f t="shared" si="1"/>
        <v>Y</v>
      </c>
    </row>
    <row r="74" spans="1:5" x14ac:dyDescent="0.3">
      <c r="A74" t="s">
        <v>87</v>
      </c>
      <c r="B74" s="7"/>
      <c r="C74" t="s">
        <v>162</v>
      </c>
      <c r="D74" s="9" t="s">
        <v>202</v>
      </c>
      <c r="E74" s="1" t="str">
        <f t="shared" si="1"/>
        <v>Y</v>
      </c>
    </row>
    <row r="75" spans="1:5" x14ac:dyDescent="0.3">
      <c r="A75" s="6" t="s">
        <v>88</v>
      </c>
      <c r="B75" s="7"/>
      <c r="C75" s="6" t="s">
        <v>163</v>
      </c>
      <c r="D75" s="9" t="s">
        <v>203</v>
      </c>
      <c r="E75" s="1" t="str">
        <f t="shared" si="1"/>
        <v>N</v>
      </c>
    </row>
    <row r="76" spans="1:5" x14ac:dyDescent="0.3">
      <c r="E76" s="1">
        <f>COUNTIF(E2:E75,"=Y")</f>
        <v>45</v>
      </c>
    </row>
  </sheetData>
  <mergeCells count="1">
    <mergeCell ref="B2:B7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YJH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tj</dc:creator>
  <cp:keywords/>
  <dc:description/>
  <cp:lastModifiedBy>tj</cp:lastModifiedBy>
  <cp:revision/>
  <dcterms:created xsi:type="dcterms:W3CDTF">2025-11-18T07:59:10Z</dcterms:created>
  <dcterms:modified xsi:type="dcterms:W3CDTF">2025-11-20T09:39:15Z</dcterms:modified>
  <cp:category/>
  <cp:contentStatus/>
</cp:coreProperties>
</file>